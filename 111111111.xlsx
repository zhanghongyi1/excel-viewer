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zhanghongyi/Documents/lenovo-code/个人提升/excel-vue-react/"/>
    </mc:Choice>
  </mc:AlternateContent>
  <xr:revisionPtr revIDLastSave="0" documentId="13_ncr:1_{67D57C0B-6B14-A14E-B3C4-09039B1F279E}" xr6:coauthVersionLast="47" xr6:coauthVersionMax="47" xr10:uidLastSave="{00000000-0000-0000-0000-000000000000}"/>
  <bookViews>
    <workbookView xWindow="0" yWindow="0" windowWidth="35840" windowHeight="21280" xr2:uid="{00000000-000D-0000-FFFF-FFFF00000000}"/>
  </bookViews>
  <sheets>
    <sheet name="Page 1" sheetId="1" r:id="rId1"/>
    <sheet name="111" sheetId="2" r:id="rId2"/>
  </sheets>
  <definedNames>
    <definedName name="_xlnm.Print_Area" localSheetId="0">'Page 1'!$A$1:$H$29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1" l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E7" authorId="0" shapeId="0" xr:uid="{010503A6-1270-EA4A-93A7-7965EE72C877}">
      <text>
        <r>
          <rPr>
            <b/>
            <sz val="10"/>
            <color rgb="FF000000"/>
            <rFont val="Microsoft YaHei UI"/>
            <family val="2"/>
            <charset val="134"/>
          </rPr>
          <t>Microsoft Office User:</t>
        </r>
        <r>
          <rPr>
            <sz val="10"/>
            <color rgb="FF000000"/>
            <rFont val="Microsoft YaHei UI"/>
            <family val="2"/>
            <charset val="134"/>
          </rPr>
          <t xml:space="preserve">
</t>
        </r>
        <r>
          <rPr>
            <sz val="10"/>
            <color rgb="FF000000"/>
            <rFont val="Microsoft YaHei UI"/>
            <family val="2"/>
            <charset val="134"/>
          </rPr>
          <t>哈哈哈哈哈</t>
        </r>
      </text>
    </comment>
  </commentList>
</comments>
</file>

<file path=xl/sharedStrings.xml><?xml version="1.0" encoding="utf-8"?>
<sst xmlns="http://schemas.openxmlformats.org/spreadsheetml/2006/main" count="137" uniqueCount="74">
  <si>
    <t>蒸汽表能源消耗月报表</t>
  </si>
  <si>
    <t>名称</t>
  </si>
  <si>
    <t>区域</t>
  </si>
  <si>
    <t>月蒸汽量</t>
  </si>
  <si>
    <t>年累计蒸汽量</t>
  </si>
  <si>
    <t>分割屋面主蒸汽总表</t>
  </si>
  <si>
    <t>分割屋面</t>
  </si>
  <si>
    <t>调理屋面主蒸汽</t>
  </si>
  <si>
    <t>调理屋面</t>
  </si>
  <si>
    <t>猪毛血粉间主蒸汽</t>
  </si>
  <si>
    <t>屠宰区屋面</t>
  </si>
  <si>
    <t>屠宰区主蒸汽</t>
  </si>
  <si>
    <t>屠宰区运河烫</t>
  </si>
  <si>
    <t>屠宰区打毛机</t>
  </si>
  <si>
    <t>屠宰区二氧化碳气化装置</t>
  </si>
  <si>
    <t>屠宰区热交换间</t>
  </si>
  <si>
    <t>屠宰区加工间螺旋烫蹄池</t>
  </si>
  <si>
    <t>屠宰区清洗消毒、白脏间大肠预煮机</t>
  </si>
  <si>
    <t>屠宰白脏热交换</t>
  </si>
  <si>
    <t>分割车间热交换间</t>
  </si>
  <si>
    <t>分割区屋面</t>
  </si>
  <si>
    <t>分割车间冷却区解冻间、刀具清洗</t>
  </si>
  <si>
    <t>发货月台洗箱机（刷盒）</t>
  </si>
  <si>
    <t>调理车间屋面主蒸汽</t>
  </si>
  <si>
    <t>调理区屋面</t>
  </si>
  <si>
    <t>调理棒骨间双螺旋卤制机</t>
  </si>
  <si>
    <t>调理原料接解冻间暖风机</t>
  </si>
  <si>
    <t>猪头加工间热交换器</t>
  </si>
  <si>
    <t>猪头加工间卤制锅（南罐）</t>
  </si>
  <si>
    <t>猪头加工间卤制间预煮机</t>
  </si>
  <si>
    <t>猪头加工间猪头烫池</t>
  </si>
  <si>
    <t>猪毛血粉热交换器</t>
  </si>
  <si>
    <t>急宰炼油楼顶</t>
  </si>
  <si>
    <t>猪毛粉间-猪毛浸烫池DN100</t>
  </si>
  <si>
    <t>猪血粉间-猪毛浸烫池DN80</t>
  </si>
  <si>
    <t/>
  </si>
  <si>
    <t>统计日期：2026-07-21</t>
  </si>
  <si>
    <t>2026-07蒸汽表第一个读数</t>
  </si>
  <si>
    <t>2026-07蒸汽表最后一个读数</t>
  </si>
  <si>
    <t>2026蒸汽表第一个读数</t>
  </si>
  <si>
    <t>2026蒸汽表最后一个读数</t>
  </si>
  <si>
    <t>13041.489</t>
  </si>
  <si>
    <t>12263.023</t>
  </si>
  <si>
    <t>50.572</t>
  </si>
  <si>
    <t>144.613</t>
  </si>
  <si>
    <t>3240.845</t>
  </si>
  <si>
    <t>3122.392</t>
  </si>
  <si>
    <t>182.7</t>
  </si>
  <si>
    <t>178.4</t>
  </si>
  <si>
    <t>1781.485</t>
  </si>
  <si>
    <t>1781.482</t>
  </si>
  <si>
    <t>163.228</t>
  </si>
  <si>
    <t>162.999</t>
  </si>
  <si>
    <t>838.987</t>
  </si>
  <si>
    <t>770.186</t>
  </si>
  <si>
    <t>137.704</t>
  </si>
  <si>
    <t>2625.722</t>
  </si>
  <si>
    <t>2602.001</t>
  </si>
  <si>
    <t>5964.398</t>
  </si>
  <si>
    <t>5692.012</t>
  </si>
  <si>
    <t>2897.522</t>
  </si>
  <si>
    <t>2673.48</t>
  </si>
  <si>
    <t>0.42</t>
  </si>
  <si>
    <t>0.416</t>
  </si>
  <si>
    <t>197.117</t>
  </si>
  <si>
    <t>197.099</t>
  </si>
  <si>
    <t>920.525</t>
  </si>
  <si>
    <t>847.924</t>
  </si>
  <si>
    <t>997.216</t>
  </si>
  <si>
    <t>850.932</t>
  </si>
  <si>
    <t>1.657</t>
  </si>
  <si>
    <t>0.0</t>
  </si>
  <si>
    <t>aaaaa</t>
    <phoneticPr fontId="9" type="noConversion"/>
  </si>
  <si>
    <t>aaaa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</si>
</sst>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color rgb="FF000000"/>
      <name val="Arial"/>
      <charset val="1"/>
    </font>
    <font>
      <sz val="8"/>
      <color rgb="FF000000"/>
      <name val="Arial"/>
      <family val="2"/>
    </font>
    <font>
      <b/>
      <sz val="14"/>
      <color rgb="FF000000"/>
      <name val="黑体"/>
      <family val="3"/>
      <charset val="134"/>
    </font>
    <font>
      <sz val="8"/>
      <color rgb="FF000000"/>
      <name val="黑体"/>
      <family val="3"/>
      <charset val="134"/>
    </font>
    <font>
      <b/>
      <sz val="16"/>
      <color rgb="FF000000"/>
      <name val="黑体"/>
      <family val="3"/>
      <charset val="134"/>
    </font>
    <font>
      <sz val="10"/>
      <color rgb="FF000000"/>
      <name val="黑体"/>
      <family val="3"/>
      <charset val="134"/>
    </font>
    <font>
      <sz val="8"/>
      <color rgb="FF000000"/>
      <name val="宋体"/>
      <family val="3"/>
      <charset val="134"/>
    </font>
    <font>
      <sz val="9"/>
      <name val="FangSong"/>
      <family val="3"/>
      <charset val="134"/>
    </font>
    <font>
      <sz val="10"/>
      <color rgb="FF000000"/>
      <name val="Arial"/>
      <family val="2"/>
      <charset val="134"/>
    </font>
    <font>
      <sz val="9"/>
      <name val="Alibaba PuHuiTi 3.0 55 Regular"/>
      <family val="3"/>
      <charset val="134"/>
    </font>
    <font>
      <sz val="10"/>
      <color rgb="FF000000"/>
      <name val="Arial"/>
      <family val="2"/>
    </font>
    <font>
      <sz val="8"/>
      <color rgb="FFFF0000"/>
      <name val="宋体"/>
      <family val="3"/>
      <charset val="134"/>
    </font>
    <font>
      <sz val="10"/>
      <color rgb="FF000000"/>
      <name val="Microsoft YaHei UI"/>
      <family val="2"/>
      <charset val="134"/>
    </font>
    <font>
      <b/>
      <sz val="10"/>
      <color rgb="FF000000"/>
      <name val="Microsoft YaHei U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696969"/>
      </bottom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  <border>
      <left/>
      <right/>
      <top style="thin">
        <color rgb="FF696969"/>
      </top>
      <bottom/>
      <diagonal/>
    </border>
  </borders>
  <cellStyleXfs count="1">
    <xf numFmtId="0" fontId="0" fillId="0" borderId="0"/>
  </cellStyleXfs>
  <cellXfs count="16"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5" fillId="0" borderId="1" xfId="0" applyFont="1" applyBorder="1" applyAlignment="1">
      <alignment horizontal="right" vertical="center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left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10" fillId="0" borderId="3" xfId="0" applyFont="1" applyBorder="1" applyAlignment="1">
      <alignment horizontal="left"/>
    </xf>
    <xf numFmtId="0" fontId="10" fillId="0" borderId="0" xfId="0" applyFont="1" applyAlignment="1">
      <alignment horizontal="left"/>
    </xf>
    <xf numFmtId="0" fontId="4" fillId="2" borderId="0" xfId="0" applyFont="1" applyFill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图表</a:t>
            </a:r>
            <a:r>
              <a:rPr lang="en-US" altLang="zh-CN"/>
              <a:t>11111111111</a:t>
            </a:r>
            <a:r>
              <a:rPr lang="zh-CN" altLang="en-US"/>
              <a:t>标题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9.0692038495188101E-2"/>
          <c:y val="0.18608814523184602"/>
          <c:w val="0.86487510936132983"/>
          <c:h val="0.7158100029163021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'Page 1'!$C$8:$C$28</c:f>
              <c:numCache>
                <c:formatCode>General</c:formatCode>
                <c:ptCount val="21"/>
                <c:pt idx="0">
                  <c:v>12969.472</c:v>
                </c:pt>
                <c:pt idx="1">
                  <c:v>37.057000000000002</c:v>
                </c:pt>
                <c:pt idx="2">
                  <c:v>3232.85</c:v>
                </c:pt>
                <c:pt idx="3">
                  <c:v>182.3</c:v>
                </c:pt>
                <c:pt idx="4">
                  <c:v>1781.4849999999999</c:v>
                </c:pt>
                <c:pt idx="5">
                  <c:v>163.22800000000001</c:v>
                </c:pt>
                <c:pt idx="6">
                  <c:v>820.99</c:v>
                </c:pt>
                <c:pt idx="7">
                  <c:v>137.70400000000001</c:v>
                </c:pt>
                <c:pt idx="8">
                  <c:v>2625.5439999999999</c:v>
                </c:pt>
                <c:pt idx="9">
                  <c:v>0</c:v>
                </c:pt>
                <c:pt idx="10">
                  <c:v>5940.42</c:v>
                </c:pt>
                <c:pt idx="11">
                  <c:v>2873.2280000000001</c:v>
                </c:pt>
                <c:pt idx="12">
                  <c:v>0.42</c:v>
                </c:pt>
                <c:pt idx="13">
                  <c:v>197.11699999999999</c:v>
                </c:pt>
                <c:pt idx="14">
                  <c:v>917.39</c:v>
                </c:pt>
                <c:pt idx="15">
                  <c:v>972.96600000000001</c:v>
                </c:pt>
                <c:pt idx="16">
                  <c:v>0</c:v>
                </c:pt>
                <c:pt idx="17">
                  <c:v>1.657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72-F845-885F-FCF597E591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59172688"/>
        <c:axId val="359140480"/>
      </c:barChart>
      <c:catAx>
        <c:axId val="359172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59140480"/>
        <c:crosses val="autoZero"/>
        <c:auto val="1"/>
        <c:lblAlgn val="ctr"/>
        <c:lblOffset val="100"/>
        <c:noMultiLvlLbl val="0"/>
      </c:catAx>
      <c:valAx>
        <c:axId val="35914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59172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图表</a:t>
            </a:r>
            <a:r>
              <a:rPr lang="en-US" altLang="zh-CN"/>
              <a:t>11111</a:t>
            </a:r>
            <a:r>
              <a:rPr lang="zh-CN"/>
              <a:t>标题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7.8013779527559057E-2"/>
          <c:y val="0.19997703412073492"/>
          <c:w val="0.87754177602799655"/>
          <c:h val="0.71581000291630215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'Page 1'!$C$9:$C$28</c:f>
              <c:numCache>
                <c:formatCode>General</c:formatCode>
                <c:ptCount val="20"/>
                <c:pt idx="0">
                  <c:v>37.057000000000002</c:v>
                </c:pt>
                <c:pt idx="1">
                  <c:v>3232.85</c:v>
                </c:pt>
                <c:pt idx="2">
                  <c:v>182.3</c:v>
                </c:pt>
                <c:pt idx="3">
                  <c:v>1781.4849999999999</c:v>
                </c:pt>
                <c:pt idx="4">
                  <c:v>163.22800000000001</c:v>
                </c:pt>
                <c:pt idx="5">
                  <c:v>820.99</c:v>
                </c:pt>
                <c:pt idx="6">
                  <c:v>137.70400000000001</c:v>
                </c:pt>
                <c:pt idx="7">
                  <c:v>2625.5439999999999</c:v>
                </c:pt>
                <c:pt idx="8">
                  <c:v>0</c:v>
                </c:pt>
                <c:pt idx="9">
                  <c:v>5940.42</c:v>
                </c:pt>
                <c:pt idx="10">
                  <c:v>2873.2280000000001</c:v>
                </c:pt>
                <c:pt idx="11">
                  <c:v>0.42</c:v>
                </c:pt>
                <c:pt idx="12">
                  <c:v>197.11699999999999</c:v>
                </c:pt>
                <c:pt idx="13">
                  <c:v>917.39</c:v>
                </c:pt>
                <c:pt idx="14">
                  <c:v>972.96600000000001</c:v>
                </c:pt>
                <c:pt idx="15">
                  <c:v>0</c:v>
                </c:pt>
                <c:pt idx="16">
                  <c:v>1.657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BE-3240-A6F0-79639A4522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6581167"/>
        <c:axId val="507906447"/>
      </c:lineChart>
      <c:catAx>
        <c:axId val="816581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07906447"/>
        <c:crosses val="autoZero"/>
        <c:auto val="1"/>
        <c:lblAlgn val="ctr"/>
        <c:lblOffset val="100"/>
        <c:noMultiLvlLbl val="0"/>
      </c:catAx>
      <c:valAx>
        <c:axId val="507906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16581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292100</xdr:colOff>
      <xdr:row>52</xdr:row>
      <xdr:rowOff>25400</xdr:rowOff>
    </xdr:from>
    <xdr:to>
      <xdr:col>8</xdr:col>
      <xdr:colOff>1193800</xdr:colOff>
      <xdr:row>66</xdr:row>
      <xdr:rowOff>127000</xdr:rowOff>
    </xdr:to>
    <xdr:pic>
      <xdr:nvPicPr>
        <xdr:cNvPr id="2" name="Picture 1" descr="image000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99100" y="8940800"/>
          <a:ext cx="12065000" cy="2413000"/>
        </a:xfrm>
        <a:prstGeom prst="rect">
          <a:avLst/>
        </a:prstGeom>
      </xdr:spPr>
    </xdr:pic>
    <xdr:clientData/>
  </xdr:twoCellAnchor>
  <xdr:twoCellAnchor>
    <xdr:from>
      <xdr:col>5</xdr:col>
      <xdr:colOff>127000</xdr:colOff>
      <xdr:row>29</xdr:row>
      <xdr:rowOff>158750</xdr:rowOff>
    </xdr:from>
    <xdr:to>
      <xdr:col>6</xdr:col>
      <xdr:colOff>1828800</xdr:colOff>
      <xdr:row>46</xdr:row>
      <xdr:rowOff>95250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2A28F560-C89A-28DC-6D21-8A1E36144B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120650</xdr:colOff>
      <xdr:row>59</xdr:row>
      <xdr:rowOff>19050</xdr:rowOff>
    </xdr:from>
    <xdr:to>
      <xdr:col>3</xdr:col>
      <xdr:colOff>1085850</xdr:colOff>
      <xdr:row>75</xdr:row>
      <xdr:rowOff>120650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8F78A14E-3E05-D7F2-5465-B2015F7D8D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9"/>
  <sheetViews>
    <sheetView tabSelected="1" workbookViewId="0">
      <selection activeCell="E37" sqref="E37"/>
    </sheetView>
  </sheetViews>
  <sheetFormatPr baseColWidth="10" defaultColWidth="41.83203125" defaultRowHeight="13"/>
  <cols>
    <col min="1" max="1" width="21" customWidth="1"/>
    <col min="2" max="2" width="9.6640625" bestFit="1" customWidth="1"/>
    <col min="3" max="3" width="37.6640625" bestFit="1" customWidth="1"/>
    <col min="4" max="4" width="36.83203125" bestFit="1" customWidth="1"/>
    <col min="5" max="5" width="23.1640625" customWidth="1"/>
    <col min="6" max="6" width="37.6640625" bestFit="1" customWidth="1"/>
    <col min="7" max="7" width="36.83203125" bestFit="1" customWidth="1"/>
    <col min="8" max="8" width="12" bestFit="1" customWidth="1"/>
  </cols>
  <sheetData>
    <row r="1" spans="1:8" ht="17">
      <c r="A1" s="8"/>
      <c r="B1" s="8"/>
      <c r="C1" s="9"/>
      <c r="D1" s="9"/>
      <c r="E1" s="10"/>
      <c r="F1" s="10"/>
      <c r="G1" s="10"/>
      <c r="H1" s="10"/>
    </row>
    <row r="2" spans="1:8" ht="19">
      <c r="A2" s="14" t="s">
        <v>0</v>
      </c>
      <c r="B2" s="14"/>
      <c r="C2" s="14"/>
      <c r="D2" s="14"/>
      <c r="E2" s="14"/>
      <c r="F2" s="14"/>
      <c r="G2" s="14"/>
      <c r="H2" s="14"/>
    </row>
    <row r="3" spans="1:8" ht="14">
      <c r="A3" s="1"/>
      <c r="B3" s="1"/>
      <c r="C3" s="1"/>
      <c r="D3" s="1"/>
      <c r="E3" s="2"/>
      <c r="F3" s="6" t="s">
        <v>36</v>
      </c>
      <c r="G3" s="7"/>
      <c r="H3" s="7"/>
    </row>
    <row r="4" spans="1:8" ht="15">
      <c r="A4" s="3" t="s">
        <v>1</v>
      </c>
      <c r="B4" s="3" t="s">
        <v>2</v>
      </c>
      <c r="C4" s="3" t="s">
        <v>37</v>
      </c>
      <c r="D4" s="3" t="s">
        <v>38</v>
      </c>
      <c r="E4" s="3" t="s">
        <v>3</v>
      </c>
      <c r="F4" s="3" t="s">
        <v>39</v>
      </c>
      <c r="G4" s="3" t="s">
        <v>40</v>
      </c>
      <c r="H4" s="3" t="s">
        <v>4</v>
      </c>
    </row>
    <row r="5" spans="1:8">
      <c r="A5" s="4" t="s">
        <v>5</v>
      </c>
      <c r="B5" s="4" t="s">
        <v>6</v>
      </c>
      <c r="C5" s="15" t="s">
        <v>35</v>
      </c>
      <c r="D5" s="4" t="s">
        <v>35</v>
      </c>
      <c r="E5" s="4" t="e">
        <f>D5-C5</f>
        <v>#VALUE!</v>
      </c>
      <c r="F5" s="4" t="s">
        <v>35</v>
      </c>
      <c r="G5" s="4" t="s">
        <v>35</v>
      </c>
      <c r="H5" s="4" t="e">
        <f>G5-F5</f>
        <v>#VALUE!</v>
      </c>
    </row>
    <row r="6" spans="1:8">
      <c r="A6" s="4" t="s">
        <v>7</v>
      </c>
      <c r="B6" s="4" t="s">
        <v>8</v>
      </c>
      <c r="C6" s="4" t="s">
        <v>35</v>
      </c>
      <c r="D6" s="4" t="s">
        <v>35</v>
      </c>
      <c r="E6" s="4" t="e">
        <f t="shared" ref="E6:E28" si="0">D6-C6</f>
        <v>#VALUE!</v>
      </c>
      <c r="F6" s="4" t="s">
        <v>35</v>
      </c>
      <c r="G6" s="4" t="s">
        <v>35</v>
      </c>
      <c r="H6" s="4" t="e">
        <f t="shared" ref="H6:H28" si="1">G6-F6</f>
        <v>#VALUE!</v>
      </c>
    </row>
    <row r="7" spans="1:8">
      <c r="A7" s="4" t="s">
        <v>9</v>
      </c>
      <c r="B7" s="4" t="s">
        <v>10</v>
      </c>
      <c r="C7" s="4" t="s">
        <v>35</v>
      </c>
      <c r="D7" s="4" t="s">
        <v>35</v>
      </c>
      <c r="E7" s="4" t="e">
        <f t="shared" si="0"/>
        <v>#VALUE!</v>
      </c>
      <c r="F7" s="4" t="s">
        <v>35</v>
      </c>
      <c r="G7" s="4" t="s">
        <v>35</v>
      </c>
      <c r="H7" s="4" t="e">
        <f t="shared" si="1"/>
        <v>#VALUE!</v>
      </c>
    </row>
    <row r="8" spans="1:8">
      <c r="A8" s="4" t="s">
        <v>11</v>
      </c>
      <c r="B8" s="4" t="s">
        <v>10</v>
      </c>
      <c r="C8" s="15">
        <v>12969.472</v>
      </c>
      <c r="D8" s="4" t="s">
        <v>41</v>
      </c>
      <c r="E8" s="4">
        <f t="shared" si="0"/>
        <v>72.016999999999825</v>
      </c>
      <c r="F8" s="4" t="s">
        <v>42</v>
      </c>
      <c r="G8" s="4" t="s">
        <v>41</v>
      </c>
      <c r="H8" s="4">
        <f t="shared" si="1"/>
        <v>778.46600000000035</v>
      </c>
    </row>
    <row r="9" spans="1:8">
      <c r="A9" s="4" t="s">
        <v>12</v>
      </c>
      <c r="B9" s="4" t="s">
        <v>10</v>
      </c>
      <c r="C9" s="4">
        <v>37.057000000000002</v>
      </c>
      <c r="D9" s="4" t="s">
        <v>43</v>
      </c>
      <c r="E9" s="4">
        <f t="shared" si="0"/>
        <v>13.515000000000001</v>
      </c>
      <c r="F9" s="4" t="s">
        <v>44</v>
      </c>
      <c r="G9" s="4" t="s">
        <v>43</v>
      </c>
      <c r="H9" s="4">
        <f t="shared" si="1"/>
        <v>-94.040999999999997</v>
      </c>
    </row>
    <row r="10" spans="1:8">
      <c r="A10" s="4" t="s">
        <v>13</v>
      </c>
      <c r="B10" s="4" t="s">
        <v>10</v>
      </c>
      <c r="C10" s="4">
        <v>3232.85</v>
      </c>
      <c r="D10" s="4" t="s">
        <v>45</v>
      </c>
      <c r="E10" s="4">
        <f t="shared" si="0"/>
        <v>7.9949999999998909</v>
      </c>
      <c r="F10" s="4" t="s">
        <v>46</v>
      </c>
      <c r="G10" s="4" t="s">
        <v>45</v>
      </c>
      <c r="H10" s="4">
        <f t="shared" si="1"/>
        <v>118.45299999999997</v>
      </c>
    </row>
    <row r="11" spans="1:8">
      <c r="A11" s="4" t="s">
        <v>14</v>
      </c>
      <c r="B11" s="4" t="s">
        <v>10</v>
      </c>
      <c r="C11" s="4">
        <v>182.3</v>
      </c>
      <c r="D11" s="4" t="s">
        <v>47</v>
      </c>
      <c r="E11" s="4">
        <f t="shared" si="0"/>
        <v>0.39999999999997726</v>
      </c>
      <c r="F11" s="4" t="s">
        <v>48</v>
      </c>
      <c r="G11" s="4" t="s">
        <v>47</v>
      </c>
      <c r="H11" s="4">
        <f t="shared" si="1"/>
        <v>4.2999999999999829</v>
      </c>
    </row>
    <row r="12" spans="1:8">
      <c r="A12" s="4" t="s">
        <v>15</v>
      </c>
      <c r="B12" s="4" t="s">
        <v>10</v>
      </c>
      <c r="C12" s="4">
        <v>1781.4849999999999</v>
      </c>
      <c r="D12" s="4" t="s">
        <v>49</v>
      </c>
      <c r="E12" s="4">
        <f t="shared" si="0"/>
        <v>0</v>
      </c>
      <c r="F12" s="4" t="s">
        <v>50</v>
      </c>
      <c r="G12" s="4" t="s">
        <v>49</v>
      </c>
      <c r="H12" s="4">
        <f t="shared" si="1"/>
        <v>2.9999999999290594E-3</v>
      </c>
    </row>
    <row r="13" spans="1:8">
      <c r="A13" s="4" t="s">
        <v>16</v>
      </c>
      <c r="B13" s="4" t="s">
        <v>10</v>
      </c>
      <c r="C13" s="4">
        <v>163.22800000000001</v>
      </c>
      <c r="D13" s="4" t="s">
        <v>51</v>
      </c>
      <c r="E13" s="4">
        <f t="shared" si="0"/>
        <v>0</v>
      </c>
      <c r="F13" s="4" t="s">
        <v>52</v>
      </c>
      <c r="G13" s="4" t="s">
        <v>51</v>
      </c>
      <c r="H13" s="4">
        <f t="shared" si="1"/>
        <v>0.22900000000001342</v>
      </c>
    </row>
    <row r="14" spans="1:8" ht="26">
      <c r="A14" s="4" t="s">
        <v>17</v>
      </c>
      <c r="B14" s="4" t="s">
        <v>10</v>
      </c>
      <c r="C14" s="4">
        <v>820.99</v>
      </c>
      <c r="D14" s="4" t="s">
        <v>53</v>
      </c>
      <c r="E14" s="4">
        <f t="shared" si="0"/>
        <v>17.996999999999957</v>
      </c>
      <c r="F14" s="4" t="s">
        <v>54</v>
      </c>
      <c r="G14" s="4" t="s">
        <v>53</v>
      </c>
      <c r="H14" s="4">
        <f t="shared" si="1"/>
        <v>68.800999999999931</v>
      </c>
    </row>
    <row r="15" spans="1:8">
      <c r="A15" s="4" t="s">
        <v>18</v>
      </c>
      <c r="B15" s="4" t="s">
        <v>10</v>
      </c>
      <c r="C15" s="4">
        <v>137.70400000000001</v>
      </c>
      <c r="D15" s="4" t="s">
        <v>55</v>
      </c>
      <c r="E15" s="4">
        <f t="shared" si="0"/>
        <v>0</v>
      </c>
      <c r="F15" s="4" t="s">
        <v>55</v>
      </c>
      <c r="G15" s="4" t="s">
        <v>55</v>
      </c>
      <c r="H15" s="4">
        <f t="shared" si="1"/>
        <v>0</v>
      </c>
    </row>
    <row r="16" spans="1:8">
      <c r="A16" s="4" t="s">
        <v>19</v>
      </c>
      <c r="B16" s="4" t="s">
        <v>20</v>
      </c>
      <c r="C16" s="4">
        <v>2625.5439999999999</v>
      </c>
      <c r="D16" s="4" t="s">
        <v>56</v>
      </c>
      <c r="E16" s="4">
        <f t="shared" si="0"/>
        <v>0.17800000000033833</v>
      </c>
      <c r="F16" s="4" t="s">
        <v>57</v>
      </c>
      <c r="G16" s="4" t="s">
        <v>56</v>
      </c>
      <c r="H16" s="4">
        <f t="shared" si="1"/>
        <v>23.721000000000004</v>
      </c>
    </row>
    <row r="17" spans="1:8">
      <c r="A17" s="4" t="s">
        <v>21</v>
      </c>
      <c r="B17" s="4" t="s">
        <v>20</v>
      </c>
      <c r="C17" s="4">
        <v>0</v>
      </c>
      <c r="D17" s="4" t="s">
        <v>35</v>
      </c>
      <c r="E17" s="4" t="e">
        <f t="shared" si="0"/>
        <v>#VALUE!</v>
      </c>
      <c r="F17" s="4" t="s">
        <v>35</v>
      </c>
      <c r="G17" s="4" t="s">
        <v>35</v>
      </c>
      <c r="H17" s="4" t="e">
        <f t="shared" si="1"/>
        <v>#VALUE!</v>
      </c>
    </row>
    <row r="18" spans="1:8">
      <c r="A18" s="4" t="s">
        <v>22</v>
      </c>
      <c r="B18" s="4" t="s">
        <v>20</v>
      </c>
      <c r="C18" s="4">
        <v>5940.42</v>
      </c>
      <c r="D18" s="4" t="s">
        <v>58</v>
      </c>
      <c r="E18" s="4">
        <f t="shared" si="0"/>
        <v>23.978000000000065</v>
      </c>
      <c r="F18" s="4" t="s">
        <v>59</v>
      </c>
      <c r="G18" s="4" t="s">
        <v>58</v>
      </c>
      <c r="H18" s="4">
        <f t="shared" si="1"/>
        <v>272.38600000000042</v>
      </c>
    </row>
    <row r="19" spans="1:8">
      <c r="A19" s="4" t="s">
        <v>23</v>
      </c>
      <c r="B19" s="4" t="s">
        <v>24</v>
      </c>
      <c r="C19" s="4">
        <v>2873.2280000000001</v>
      </c>
      <c r="D19" s="4" t="s">
        <v>60</v>
      </c>
      <c r="E19" s="4">
        <f t="shared" si="0"/>
        <v>24.293999999999869</v>
      </c>
      <c r="F19" s="4" t="s">
        <v>61</v>
      </c>
      <c r="G19" s="4" t="s">
        <v>60</v>
      </c>
      <c r="H19" s="4">
        <f t="shared" si="1"/>
        <v>224.04199999999992</v>
      </c>
    </row>
    <row r="20" spans="1:8">
      <c r="A20" s="4" t="s">
        <v>25</v>
      </c>
      <c r="B20" s="4" t="s">
        <v>24</v>
      </c>
      <c r="C20" s="4">
        <v>0.42</v>
      </c>
      <c r="D20" s="4" t="s">
        <v>62</v>
      </c>
      <c r="E20" s="4">
        <f t="shared" si="0"/>
        <v>0</v>
      </c>
      <c r="F20" s="4" t="s">
        <v>63</v>
      </c>
      <c r="G20" s="4" t="s">
        <v>62</v>
      </c>
      <c r="H20" s="4">
        <f t="shared" si="1"/>
        <v>4.0000000000000036E-3</v>
      </c>
    </row>
    <row r="21" spans="1:8">
      <c r="A21" s="4" t="s">
        <v>26</v>
      </c>
      <c r="B21" s="4" t="s">
        <v>24</v>
      </c>
      <c r="C21" s="4">
        <v>197.11699999999999</v>
      </c>
      <c r="D21" s="4" t="s">
        <v>64</v>
      </c>
      <c r="E21" s="4">
        <f t="shared" si="0"/>
        <v>0</v>
      </c>
      <c r="F21" s="4" t="s">
        <v>65</v>
      </c>
      <c r="G21" s="4" t="s">
        <v>64</v>
      </c>
      <c r="H21" s="4">
        <f t="shared" si="1"/>
        <v>1.8000000000000682E-2</v>
      </c>
    </row>
    <row r="22" spans="1:8">
      <c r="A22" s="4" t="s">
        <v>27</v>
      </c>
      <c r="B22" s="4" t="s">
        <v>24</v>
      </c>
      <c r="C22" s="4">
        <v>917.39</v>
      </c>
      <c r="D22" s="4" t="s">
        <v>66</v>
      </c>
      <c r="E22" s="4">
        <f t="shared" si="0"/>
        <v>3.1349999999999909</v>
      </c>
      <c r="F22" s="4" t="s">
        <v>67</v>
      </c>
      <c r="G22" s="4" t="s">
        <v>66</v>
      </c>
      <c r="H22" s="4">
        <f t="shared" si="1"/>
        <v>72.600999999999999</v>
      </c>
    </row>
    <row r="23" spans="1:8">
      <c r="A23" s="4" t="s">
        <v>28</v>
      </c>
      <c r="B23" s="4" t="s">
        <v>24</v>
      </c>
      <c r="C23" s="4">
        <v>972.96600000000001</v>
      </c>
      <c r="D23" s="4" t="s">
        <v>68</v>
      </c>
      <c r="E23" s="4">
        <f t="shared" si="0"/>
        <v>24.25</v>
      </c>
      <c r="F23" s="4" t="s">
        <v>69</v>
      </c>
      <c r="G23" s="4" t="s">
        <v>68</v>
      </c>
      <c r="H23" s="4">
        <f t="shared" si="1"/>
        <v>146.28399999999999</v>
      </c>
    </row>
    <row r="24" spans="1:8">
      <c r="A24" s="4" t="s">
        <v>29</v>
      </c>
      <c r="B24" s="4" t="s">
        <v>24</v>
      </c>
      <c r="C24" s="4">
        <v>0</v>
      </c>
      <c r="D24" s="4" t="s">
        <v>35</v>
      </c>
      <c r="E24" s="4" t="e">
        <f t="shared" si="0"/>
        <v>#VALUE!</v>
      </c>
      <c r="F24" s="4" t="s">
        <v>35</v>
      </c>
      <c r="G24" s="4" t="s">
        <v>35</v>
      </c>
      <c r="H24" s="4" t="e">
        <f t="shared" si="1"/>
        <v>#VALUE!</v>
      </c>
    </row>
    <row r="25" spans="1:8">
      <c r="A25" s="4" t="s">
        <v>30</v>
      </c>
      <c r="B25" s="4" t="s">
        <v>24</v>
      </c>
      <c r="C25" s="4">
        <v>1.657</v>
      </c>
      <c r="D25" s="4" t="s">
        <v>70</v>
      </c>
      <c r="E25" s="4">
        <f t="shared" si="0"/>
        <v>0</v>
      </c>
      <c r="F25" s="4" t="s">
        <v>70</v>
      </c>
      <c r="G25" s="4" t="s">
        <v>70</v>
      </c>
      <c r="H25" s="4">
        <f t="shared" si="1"/>
        <v>0</v>
      </c>
    </row>
    <row r="26" spans="1:8">
      <c r="A26" s="4" t="s">
        <v>31</v>
      </c>
      <c r="B26" s="4" t="s">
        <v>32</v>
      </c>
      <c r="C26" s="4">
        <v>0</v>
      </c>
      <c r="D26" s="4" t="s">
        <v>71</v>
      </c>
      <c r="E26" s="4">
        <f t="shared" si="0"/>
        <v>0</v>
      </c>
      <c r="F26" s="4" t="s">
        <v>71</v>
      </c>
      <c r="G26" s="4" t="s">
        <v>71</v>
      </c>
      <c r="H26" s="4">
        <f t="shared" si="1"/>
        <v>0</v>
      </c>
    </row>
    <row r="27" spans="1:8">
      <c r="A27" s="4" t="s">
        <v>33</v>
      </c>
      <c r="B27" s="4" t="s">
        <v>32</v>
      </c>
      <c r="C27" s="4">
        <v>0</v>
      </c>
      <c r="D27" s="4" t="s">
        <v>71</v>
      </c>
      <c r="E27" s="4">
        <f t="shared" si="0"/>
        <v>0</v>
      </c>
      <c r="F27" s="4" t="s">
        <v>71</v>
      </c>
      <c r="G27" s="4" t="s">
        <v>71</v>
      </c>
      <c r="H27" s="4">
        <f t="shared" si="1"/>
        <v>0</v>
      </c>
    </row>
    <row r="28" spans="1:8">
      <c r="A28" s="4" t="s">
        <v>34</v>
      </c>
      <c r="B28" s="4" t="s">
        <v>32</v>
      </c>
      <c r="C28" s="4">
        <v>0</v>
      </c>
      <c r="D28" s="4" t="s">
        <v>71</v>
      </c>
      <c r="E28" s="4">
        <f t="shared" si="0"/>
        <v>0</v>
      </c>
      <c r="F28" s="4" t="s">
        <v>71</v>
      </c>
      <c r="G28" s="4" t="s">
        <v>71</v>
      </c>
      <c r="H28" s="4">
        <f t="shared" si="1"/>
        <v>0</v>
      </c>
    </row>
    <row r="29" spans="1:8">
      <c r="A29" s="5"/>
      <c r="B29" s="5"/>
      <c r="C29" s="5"/>
      <c r="D29" s="5"/>
      <c r="E29" s="5"/>
      <c r="F29" s="5"/>
      <c r="G29" s="5"/>
      <c r="H29" s="5"/>
    </row>
  </sheetData>
  <mergeCells count="5">
    <mergeCell ref="F3:H3"/>
    <mergeCell ref="A1:B1"/>
    <mergeCell ref="C1:D1"/>
    <mergeCell ref="E1:H1"/>
    <mergeCell ref="A2:H2"/>
  </mergeCells>
  <phoneticPr fontId="7" type="noConversion"/>
  <pageMargins left="0.39" right="0.39" top="0.39" bottom="0.39" header="0" footer="0"/>
  <pageSetup paperSize="0" fitToHeight="0" orientation="portrait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D9ACB-0F4B-D949-8958-11916B793FB3}">
  <dimension ref="A1:H42"/>
  <sheetViews>
    <sheetView workbookViewId="0">
      <selection activeCell="G42" sqref="G42"/>
    </sheetView>
  </sheetViews>
  <sheetFormatPr baseColWidth="10" defaultColWidth="41.83203125" defaultRowHeight="13"/>
  <cols>
    <col min="1" max="1" width="21" customWidth="1"/>
    <col min="2" max="2" width="9.6640625" bestFit="1" customWidth="1"/>
    <col min="3" max="3" width="37.6640625" bestFit="1" customWidth="1"/>
    <col min="4" max="4" width="36.83203125" bestFit="1" customWidth="1"/>
    <col min="5" max="5" width="23.1640625" customWidth="1"/>
    <col min="6" max="6" width="37.6640625" bestFit="1" customWidth="1"/>
    <col min="7" max="7" width="36.83203125" bestFit="1" customWidth="1"/>
    <col min="8" max="8" width="12" bestFit="1" customWidth="1"/>
  </cols>
  <sheetData>
    <row r="1" spans="1:8" ht="17">
      <c r="A1" s="8"/>
      <c r="B1" s="8"/>
      <c r="C1" s="9"/>
      <c r="D1" s="9"/>
      <c r="E1" s="10"/>
      <c r="F1" s="10"/>
      <c r="G1" s="10"/>
      <c r="H1" s="10"/>
    </row>
    <row r="2" spans="1:8" ht="19">
      <c r="A2" s="11"/>
      <c r="B2" s="11"/>
      <c r="C2" s="11"/>
      <c r="D2" s="11"/>
      <c r="E2" s="11"/>
      <c r="F2" s="11"/>
      <c r="G2" s="11"/>
      <c r="H2" s="11"/>
    </row>
    <row r="3" spans="1:8" ht="14">
      <c r="A3" s="1"/>
      <c r="B3" s="1"/>
      <c r="C3" s="1"/>
      <c r="D3" s="1"/>
      <c r="E3" s="2"/>
      <c r="F3" s="6"/>
      <c r="G3" s="7"/>
      <c r="H3" s="7"/>
    </row>
    <row r="4" spans="1:8" ht="14">
      <c r="A4" s="3"/>
      <c r="B4" s="3"/>
      <c r="C4" s="3"/>
      <c r="D4" s="3"/>
      <c r="E4" s="3"/>
      <c r="F4" s="3"/>
      <c r="G4" s="3"/>
      <c r="H4" s="3"/>
    </row>
    <row r="5" spans="1:8">
      <c r="A5" s="4"/>
      <c r="B5" s="4"/>
      <c r="C5" s="4"/>
      <c r="D5" s="4"/>
      <c r="E5" s="4"/>
      <c r="F5" s="4"/>
      <c r="G5" s="4"/>
      <c r="H5" s="4"/>
    </row>
    <row r="6" spans="1:8">
      <c r="A6" s="4"/>
      <c r="B6" s="4"/>
      <c r="C6" s="4"/>
      <c r="D6" s="4"/>
      <c r="E6" s="4"/>
      <c r="F6" s="4"/>
      <c r="G6" s="4"/>
      <c r="H6" s="4"/>
    </row>
    <row r="7" spans="1:8">
      <c r="A7" s="4"/>
      <c r="B7" s="4"/>
      <c r="C7" s="4"/>
      <c r="D7" s="4"/>
      <c r="E7" s="4"/>
      <c r="F7" s="4"/>
      <c r="G7" s="4"/>
      <c r="H7" s="4"/>
    </row>
    <row r="8" spans="1:8">
      <c r="A8" s="4"/>
      <c r="B8" s="4"/>
      <c r="C8" s="4"/>
      <c r="D8" s="4"/>
      <c r="E8" s="4"/>
      <c r="F8" s="4"/>
      <c r="G8" s="4"/>
      <c r="H8" s="4"/>
    </row>
    <row r="9" spans="1:8">
      <c r="A9" s="4"/>
      <c r="B9" s="4"/>
      <c r="C9" s="4"/>
      <c r="D9" s="4"/>
      <c r="E9" s="4"/>
      <c r="F9" s="4"/>
      <c r="G9" s="4"/>
      <c r="H9" s="4"/>
    </row>
    <row r="10" spans="1:8">
      <c r="A10" s="4"/>
      <c r="B10" s="4"/>
      <c r="C10" s="4"/>
      <c r="D10" s="4"/>
      <c r="E10" s="4"/>
      <c r="F10" s="4"/>
      <c r="G10" s="4"/>
      <c r="H10" s="4"/>
    </row>
    <row r="11" spans="1:8">
      <c r="A11" s="4"/>
      <c r="B11" s="4"/>
      <c r="C11" s="4"/>
      <c r="D11" s="4"/>
      <c r="E11" s="4"/>
      <c r="F11" s="4"/>
      <c r="G11" s="4"/>
      <c r="H11" s="4"/>
    </row>
    <row r="12" spans="1:8">
      <c r="A12" s="4"/>
      <c r="B12" s="4"/>
      <c r="C12" s="4"/>
      <c r="D12" s="4"/>
      <c r="E12" s="4"/>
      <c r="F12" s="4"/>
      <c r="G12" s="4"/>
      <c r="H12" s="4"/>
    </row>
    <row r="13" spans="1:8">
      <c r="A13" s="4"/>
      <c r="B13" s="4"/>
      <c r="C13" s="4"/>
      <c r="D13" s="4"/>
      <c r="E13" s="4"/>
      <c r="F13" s="4"/>
      <c r="G13" s="4"/>
      <c r="H13" s="4"/>
    </row>
    <row r="14" spans="1:8">
      <c r="A14" s="4"/>
      <c r="B14" s="4"/>
      <c r="C14" s="4"/>
      <c r="D14" s="4"/>
      <c r="E14" s="4"/>
      <c r="F14" s="4"/>
      <c r="G14" s="4"/>
      <c r="H14" s="4"/>
    </row>
    <row r="15" spans="1:8">
      <c r="A15" s="4"/>
      <c r="B15" s="4"/>
      <c r="C15" s="4"/>
      <c r="D15" s="4"/>
      <c r="E15" s="4"/>
      <c r="F15" s="4"/>
      <c r="G15" s="4"/>
      <c r="H15" s="4"/>
    </row>
    <row r="16" spans="1:8">
      <c r="A16" s="4"/>
      <c r="B16" s="4"/>
      <c r="C16" s="4"/>
      <c r="D16" s="4"/>
      <c r="E16" s="4"/>
      <c r="F16" s="4"/>
      <c r="G16" s="4"/>
      <c r="H16" s="4"/>
    </row>
    <row r="17" spans="1:8">
      <c r="A17" s="4"/>
      <c r="B17" s="4"/>
      <c r="C17" s="4"/>
      <c r="D17" s="4"/>
      <c r="E17" s="4"/>
      <c r="F17" s="4"/>
      <c r="G17" s="4"/>
      <c r="H17" s="4"/>
    </row>
    <row r="18" spans="1:8">
      <c r="A18" s="4"/>
      <c r="B18" s="4"/>
      <c r="C18" s="4"/>
      <c r="D18" s="4"/>
      <c r="E18" s="4"/>
      <c r="F18" s="4"/>
      <c r="G18" s="4"/>
      <c r="H18" s="4"/>
    </row>
    <row r="19" spans="1:8">
      <c r="A19" s="4"/>
      <c r="B19" s="4"/>
      <c r="C19" s="4"/>
      <c r="D19" s="4"/>
      <c r="E19" s="4"/>
      <c r="F19" s="4"/>
      <c r="G19" s="4"/>
      <c r="H19" s="4"/>
    </row>
    <row r="20" spans="1:8">
      <c r="A20" s="4"/>
      <c r="B20" s="4"/>
      <c r="C20" s="4"/>
      <c r="D20" s="4"/>
      <c r="E20" s="4"/>
      <c r="F20" s="4"/>
      <c r="G20" s="4"/>
      <c r="H20" s="4"/>
    </row>
    <row r="21" spans="1:8">
      <c r="A21" s="4"/>
      <c r="B21" s="4"/>
      <c r="C21" s="4"/>
      <c r="D21" s="4"/>
      <c r="E21" s="4"/>
      <c r="F21" s="4"/>
      <c r="G21" s="4"/>
      <c r="H21" s="4"/>
    </row>
    <row r="22" spans="1:8">
      <c r="A22" s="4"/>
      <c r="B22" s="4"/>
      <c r="C22" s="4"/>
      <c r="D22" s="4"/>
      <c r="E22" s="4"/>
      <c r="F22" s="4"/>
      <c r="G22" s="4"/>
      <c r="H22" s="4"/>
    </row>
    <row r="23" spans="1:8">
      <c r="A23" s="4"/>
      <c r="B23" s="4"/>
      <c r="C23" s="4"/>
      <c r="D23" s="4"/>
      <c r="E23" s="4"/>
      <c r="F23" s="4"/>
      <c r="G23" s="4"/>
      <c r="H23" s="4"/>
    </row>
    <row r="24" spans="1:8">
      <c r="A24" s="4"/>
      <c r="B24" s="4"/>
      <c r="C24" s="4"/>
      <c r="D24" s="4"/>
      <c r="E24" s="4"/>
      <c r="F24" s="4"/>
      <c r="G24" s="4"/>
      <c r="H24" s="4"/>
    </row>
    <row r="25" spans="1:8">
      <c r="A25" s="4"/>
      <c r="B25" s="4"/>
      <c r="C25" s="4"/>
      <c r="D25" s="4"/>
      <c r="E25" s="4"/>
      <c r="F25" s="4"/>
      <c r="G25" s="4"/>
      <c r="H25" s="4"/>
    </row>
    <row r="26" spans="1:8">
      <c r="A26" s="4"/>
      <c r="B26" s="4"/>
      <c r="C26" s="4"/>
      <c r="D26" s="4"/>
      <c r="E26" s="4"/>
      <c r="F26" s="4"/>
      <c r="G26" s="4"/>
      <c r="H26" s="4"/>
    </row>
    <row r="27" spans="1:8">
      <c r="A27" s="4"/>
      <c r="B27" s="4"/>
      <c r="C27" s="4" t="s">
        <v>72</v>
      </c>
      <c r="D27" s="4"/>
      <c r="E27" s="4"/>
      <c r="F27" s="4"/>
      <c r="G27" s="4"/>
      <c r="H27" s="4"/>
    </row>
    <row r="28" spans="1:8">
      <c r="A28" s="4"/>
      <c r="B28" s="4"/>
      <c r="C28" s="4"/>
      <c r="D28" s="4"/>
      <c r="E28" s="4"/>
      <c r="F28" s="4"/>
      <c r="G28" s="4"/>
      <c r="H28" s="4"/>
    </row>
    <row r="29" spans="1:8">
      <c r="A29" s="5"/>
      <c r="B29" s="5"/>
      <c r="C29" s="5"/>
      <c r="D29" s="5"/>
      <c r="E29" s="12" t="s">
        <v>73</v>
      </c>
      <c r="F29" s="5"/>
      <c r="G29" s="5"/>
      <c r="H29" s="5"/>
    </row>
    <row r="33" spans="7:7">
      <c r="G33" s="13" t="s">
        <v>73</v>
      </c>
    </row>
    <row r="42" spans="7:7">
      <c r="G42" s="13" t="s">
        <v>72</v>
      </c>
    </row>
  </sheetData>
  <mergeCells count="5">
    <mergeCell ref="A1:B1"/>
    <mergeCell ref="C1:D1"/>
    <mergeCell ref="E1:H1"/>
    <mergeCell ref="A2:H2"/>
    <mergeCell ref="F3:H3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Page 1</vt:lpstr>
      <vt:lpstr>111</vt:lpstr>
      <vt:lpstr>'Page 1'!Print_Area</vt:lpstr>
    </vt:vector>
  </TitlesOfParts>
  <Company>Stimulsoft Report.JS 2020.2.3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蒸汽表能源消耗月报表_2026_06</dc:title>
  <dc:subject>蒸汽表能源消耗月报表-2026-06</dc:subject>
  <cp:lastModifiedBy>Hongyi HY81 Zhang</cp:lastModifiedBy>
  <dcterms:created xsi:type="dcterms:W3CDTF">2026-07-13T01:48:17Z</dcterms:created>
  <dcterms:modified xsi:type="dcterms:W3CDTF">2026-07-30T08:03:16Z</dcterms:modified>
  <cp:contentStatus>Netscape * Mozilla/5.0 (Windows NT 10.0; Win64; x64) AppleWebKit/537.36 (KHTML, like Gecko) Chrome/132.0.0.0 Safari/537.36</cp:contentStatus>
</cp:coreProperties>
</file>