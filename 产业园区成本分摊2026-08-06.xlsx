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>
    <mc:Choice Requires="x15">
      <x15ac:absPath xmlns:x15ac="http://schemas.microsoft.com/office/spreadsheetml/2010/11/ac" url="/Users/suhaohao/Desktop/阳光定制报表模版/"/>
    </mc:Choice>
  </mc:AlternateContent>
  <xr:revisionPtr revIDLastSave="0" documentId="13_ncr:1_{5404ED9F-8DCC-1649-8E27-8A448CDFD3B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0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1" l="1"/>
  <c r="H29" i="1" l="1"/>
  <c r="I41" i="1" l="1"/>
  <c r="H37" i="1"/>
  <c r="B37" i="1"/>
  <c r="H36" i="1"/>
  <c r="B36" i="1"/>
  <c r="H35" i="1"/>
  <c r="B35" i="1"/>
  <c r="H34" i="1"/>
  <c r="B34" i="1"/>
  <c r="H33" i="1"/>
  <c r="B33" i="1"/>
  <c r="H32" i="1"/>
  <c r="B32" i="1"/>
  <c r="B31" i="1"/>
  <c r="H30" i="1"/>
  <c r="B30" i="1"/>
  <c r="G29" i="1"/>
  <c r="G41" i="1" s="1"/>
  <c r="B29" i="1"/>
  <c r="H25" i="1"/>
  <c r="H24" i="1"/>
  <c r="H23" i="1"/>
  <c r="H22" i="1"/>
  <c r="H21" i="1"/>
  <c r="H20" i="1"/>
  <c r="B20" i="1"/>
  <c r="H19" i="1"/>
  <c r="H17" i="1"/>
  <c r="H16" i="1"/>
  <c r="H15" i="1"/>
  <c r="H14" i="1"/>
  <c r="O41" i="1" l="1"/>
  <c r="P23" i="1" s="1"/>
  <c r="M20" i="1"/>
  <c r="H41" i="1"/>
  <c r="J19" i="1"/>
  <c r="J17" i="1"/>
  <c r="J16" i="1"/>
  <c r="J15" i="1"/>
  <c r="J14" i="1"/>
  <c r="J35" i="1"/>
  <c r="J34" i="1"/>
  <c r="J31" i="1"/>
  <c r="J30" i="1"/>
  <c r="J23" i="1"/>
  <c r="J25" i="1"/>
  <c r="J37" i="1"/>
  <c r="J21" i="1"/>
  <c r="J32" i="1"/>
  <c r="J24" i="1"/>
  <c r="J20" i="1"/>
  <c r="J36" i="1"/>
  <c r="J33" i="1"/>
  <c r="J22" i="1"/>
  <c r="J29" i="1"/>
  <c r="P37" i="1" l="1"/>
  <c r="P21" i="1"/>
  <c r="P17" i="1"/>
  <c r="P22" i="1"/>
  <c r="M35" i="1"/>
  <c r="M21" i="1"/>
  <c r="M34" i="1"/>
  <c r="M17" i="1"/>
  <c r="M14" i="1"/>
  <c r="M36" i="1"/>
  <c r="M31" i="1"/>
  <c r="M30" i="1"/>
  <c r="M23" i="1"/>
  <c r="M33" i="1"/>
  <c r="P25" i="1"/>
  <c r="P31" i="1"/>
  <c r="M37" i="1"/>
  <c r="M19" i="1"/>
  <c r="M24" i="1"/>
  <c r="P33" i="1"/>
  <c r="P15" i="1"/>
  <c r="P30" i="1"/>
  <c r="P19" i="1"/>
  <c r="P35" i="1"/>
  <c r="P34" i="1"/>
  <c r="P24" i="1"/>
  <c r="P36" i="1"/>
  <c r="P16" i="1"/>
  <c r="P29" i="1"/>
  <c r="P20" i="1"/>
  <c r="M29" i="1"/>
  <c r="M22" i="1"/>
  <c r="M25" i="1"/>
  <c r="M16" i="1"/>
  <c r="P14" i="1"/>
  <c r="M15" i="1"/>
  <c r="X30" i="1"/>
  <c r="X23" i="1"/>
  <c r="X37" i="1"/>
  <c r="X25" i="1"/>
  <c r="X22" i="1"/>
  <c r="X29" i="1"/>
  <c r="X31" i="1"/>
  <c r="X33" i="1"/>
  <c r="X36" i="1"/>
  <c r="X20" i="1"/>
  <c r="X24" i="1"/>
  <c r="X32" i="1"/>
  <c r="X21" i="1"/>
  <c r="X34" i="1"/>
  <c r="X35" i="1"/>
  <c r="X15" i="1"/>
  <c r="X16" i="1"/>
  <c r="X17" i="1"/>
  <c r="X19" i="1"/>
  <c r="J41" i="1"/>
  <c r="X14" i="1"/>
  <c r="M41" i="1" l="1"/>
  <c r="P41" i="1"/>
  <c r="X41" i="1"/>
  <c r="R41" i="1"/>
  <c r="S29" i="1" l="1"/>
  <c r="S22" i="1"/>
  <c r="S15" i="1"/>
  <c r="S36" i="1"/>
  <c r="S16" i="1"/>
  <c r="S14" i="1"/>
  <c r="S31" i="1"/>
  <c r="S17" i="1"/>
  <c r="S33" i="1"/>
  <c r="S35" i="1"/>
  <c r="S32" i="1"/>
  <c r="S21" i="1"/>
  <c r="S30" i="1"/>
  <c r="S19" i="1"/>
  <c r="S25" i="1"/>
  <c r="S24" i="1"/>
  <c r="S23" i="1"/>
  <c r="S34" i="1"/>
  <c r="S20" i="1"/>
  <c r="S37" i="1"/>
  <c r="S41" i="1" l="1"/>
  <c r="D32" i="1" l="1"/>
  <c r="U41" i="1" l="1"/>
  <c r="V29" i="1" l="1"/>
  <c r="Q39" i="1"/>
  <c r="V34" i="1"/>
  <c r="V31" i="1"/>
  <c r="V19" i="1"/>
  <c r="V15" i="1"/>
  <c r="V35" i="1"/>
  <c r="V21" i="1"/>
  <c r="V17" i="1"/>
  <c r="V30" i="1"/>
  <c r="V20" i="1"/>
  <c r="V25" i="1"/>
  <c r="V37" i="1"/>
  <c r="V36" i="1"/>
  <c r="V24" i="1"/>
  <c r="V16" i="1"/>
  <c r="V33" i="1"/>
  <c r="V32" i="1"/>
  <c r="V23" i="1"/>
  <c r="V22" i="1"/>
  <c r="V14" i="1"/>
  <c r="Q31" i="1" l="1"/>
  <c r="Q30" i="1"/>
  <c r="W39" i="1"/>
  <c r="T39" i="1"/>
  <c r="V41" i="1"/>
  <c r="Q33" i="1"/>
  <c r="Q34" i="1"/>
  <c r="Q35" i="1"/>
  <c r="Q36" i="1"/>
  <c r="Q37" i="1"/>
  <c r="Q32" i="1"/>
  <c r="Q29" i="1"/>
  <c r="Q19" i="1"/>
  <c r="Q17" i="1"/>
  <c r="Q16" i="1"/>
  <c r="Q15" i="1"/>
  <c r="Q14" i="1"/>
  <c r="Q22" i="1"/>
  <c r="Q24" i="1"/>
  <c r="Q20" i="1"/>
  <c r="Q23" i="1"/>
  <c r="Q21" i="1"/>
  <c r="Q25" i="1"/>
  <c r="T37" i="1" l="1"/>
  <c r="N34" i="1"/>
  <c r="N33" i="1"/>
  <c r="N37" i="1"/>
  <c r="N23" i="1"/>
  <c r="N22" i="1"/>
  <c r="N21" i="1"/>
  <c r="N20" i="1"/>
  <c r="N25" i="1"/>
  <c r="N17" i="1"/>
  <c r="N14" i="1"/>
  <c r="N31" i="1"/>
  <c r="N19" i="1"/>
  <c r="N15" i="1"/>
  <c r="N35" i="1"/>
  <c r="N24" i="1"/>
  <c r="N36" i="1"/>
  <c r="N16" i="1"/>
  <c r="N30" i="1"/>
  <c r="N29" i="1"/>
  <c r="Q41" i="1"/>
  <c r="T23" i="1" l="1"/>
  <c r="T36" i="1"/>
  <c r="T32" i="1"/>
  <c r="T16" i="1"/>
  <c r="T24" i="1"/>
  <c r="T30" i="1"/>
  <c r="T25" i="1"/>
  <c r="T34" i="1"/>
  <c r="T29" i="1"/>
  <c r="T22" i="1"/>
  <c r="T35" i="1"/>
  <c r="T31" i="1"/>
  <c r="T19" i="1"/>
  <c r="T15" i="1"/>
  <c r="T21" i="1"/>
  <c r="T17" i="1"/>
  <c r="T20" i="1"/>
  <c r="T33" i="1"/>
  <c r="T14" i="1"/>
  <c r="W37" i="1"/>
  <c r="D37" i="1" s="1"/>
  <c r="W34" i="1"/>
  <c r="W33" i="1"/>
  <c r="W23" i="1"/>
  <c r="W32" i="1"/>
  <c r="W14" i="1"/>
  <c r="W36" i="1"/>
  <c r="W22" i="1"/>
  <c r="W21" i="1"/>
  <c r="W15" i="1"/>
  <c r="W17" i="1"/>
  <c r="W29" i="1"/>
  <c r="W35" i="1"/>
  <c r="W16" i="1"/>
  <c r="W24" i="1"/>
  <c r="W20" i="1"/>
  <c r="W25" i="1"/>
  <c r="W31" i="1"/>
  <c r="W30" i="1"/>
  <c r="W19" i="1"/>
  <c r="N41" i="1"/>
  <c r="D34" i="1" l="1"/>
  <c r="D33" i="1"/>
  <c r="D36" i="1"/>
  <c r="D30" i="1"/>
  <c r="D31" i="1"/>
  <c r="T41" i="1"/>
  <c r="D35" i="1"/>
  <c r="W41" i="1"/>
  <c r="D20" i="1" l="1"/>
  <c r="D14" i="1"/>
  <c r="D2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35" authorId="0" shapeId="0" xr:uid="{E14F901A-47FA-41A0-BAF4-C6FC11EA6F82}">
      <text>
        <r>
          <rPr>
            <b/>
            <sz val="9"/>
            <color rgb="FF000000"/>
            <rFont val="宋体"/>
            <family val="3"/>
            <charset val="134"/>
          </rPr>
          <t>Administrator: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2</t>
        </r>
        <r>
          <rPr>
            <sz val="9"/>
            <color rgb="FF000000"/>
            <rFont val="宋体"/>
            <family val="3"/>
            <charset val="134"/>
          </rPr>
          <t>月后更改</t>
        </r>
      </text>
    </comment>
  </commentList>
</comments>
</file>

<file path=xl/sharedStrings.xml><?xml version="1.0" encoding="utf-8"?>
<sst xmlns="http://schemas.openxmlformats.org/spreadsheetml/2006/main" count="417" uniqueCount="211">
  <si>
    <t>工厂名称</t>
  </si>
  <si>
    <t xml:space="preserve">总用电量 </t>
  </si>
  <si>
    <t>全厂占比</t>
  </si>
  <si>
    <t>组织名称</t>
  </si>
  <si>
    <t>成本中心</t>
  </si>
  <si>
    <t>需量</t>
  </si>
  <si>
    <t>国网总用电量</t>
  </si>
  <si>
    <t>国网用电占比</t>
  </si>
  <si>
    <t>国网总电费</t>
  </si>
  <si>
    <t>国网尖电量</t>
  </si>
  <si>
    <t>国网尖电量占比</t>
  </si>
  <si>
    <t>国网尖电费</t>
  </si>
  <si>
    <t>国网峰电量</t>
  </si>
  <si>
    <t>国网峰电量占比</t>
  </si>
  <si>
    <t>国网峰电费</t>
  </si>
  <si>
    <t>国网平电量</t>
  </si>
  <si>
    <t>国网平电量占比</t>
  </si>
  <si>
    <t>国网平电费</t>
  </si>
  <si>
    <t>国网谷电量</t>
  </si>
  <si>
    <t>国网谷电量占比</t>
  </si>
  <si>
    <t>国网谷电费</t>
  </si>
  <si>
    <t>国网需量电费</t>
  </si>
  <si>
    <t>光伏总电费</t>
  </si>
  <si>
    <t>光伏尖电费</t>
  </si>
  <si>
    <t>光伏峰电费</t>
  </si>
  <si>
    <t>光伏平电费</t>
  </si>
  <si>
    <t>光伏谷电费</t>
  </si>
  <si>
    <t>地面光伏工厂</t>
  </si>
  <si>
    <t/>
  </si>
  <si>
    <t>地面光伏工厂/生产/集中式车间</t>
  </si>
  <si>
    <t>地面光伏工厂/生产/组串式车间</t>
  </si>
  <si>
    <t>地面光伏工厂/生产/PCBA车间</t>
  </si>
  <si>
    <t>地面光伏工厂/生产/PCS车间</t>
  </si>
  <si>
    <t>户用及分布式工厂</t>
  </si>
  <si>
    <t>户用及分布式工厂/生产/户用及分布式车间</t>
  </si>
  <si>
    <t>风充工厂</t>
  </si>
  <si>
    <t>风充工厂/风充车间</t>
  </si>
  <si>
    <t>风充工厂/导线车间</t>
  </si>
  <si>
    <t>储能工厂</t>
  </si>
  <si>
    <t>生产运营平台</t>
  </si>
  <si>
    <t>中试车间</t>
  </si>
  <si>
    <t>阳光氢能</t>
  </si>
  <si>
    <t>阳光电动力</t>
  </si>
  <si>
    <t>行政中心/后勤</t>
  </si>
  <si>
    <t>检测中心</t>
  </si>
  <si>
    <t>风能系统测试部</t>
  </si>
  <si>
    <t>生产中心/生产运营平台/电子料仓储部</t>
  </si>
  <si>
    <t>阳光电源市电总电费</t>
  </si>
  <si>
    <t>阳光电源市电尖电费</t>
  </si>
  <si>
    <t>阳光电源市电峰电费</t>
  </si>
  <si>
    <t>阳光电源市电平电费</t>
  </si>
  <si>
    <t>阳光电源市电谷电费</t>
  </si>
  <si>
    <t>需量及附加电费</t>
  </si>
  <si>
    <t>合计</t>
  </si>
  <si>
    <t>产业园35kV(3409854999964)</t>
  </si>
  <si>
    <t>产业园110kV(3400106594441)</t>
  </si>
  <si>
    <t>阳光储能(3409876982029)</t>
  </si>
  <si>
    <t>PACK(3409876981941)</t>
  </si>
  <si>
    <t>（绿色部分手动填入）</t>
  </si>
  <si>
    <t>总计</t>
    <phoneticPr fontId="2" type="noConversion"/>
  </si>
  <si>
    <t>储能工厂</t>
    <phoneticPr fontId="2" type="noConversion"/>
  </si>
  <si>
    <t>需量占比</t>
    <phoneticPr fontId="2" type="noConversion"/>
  </si>
  <si>
    <t>储能事业部</t>
    <phoneticPr fontId="2" type="noConversion"/>
  </si>
  <si>
    <t>分摊度电成本</t>
    <phoneticPr fontId="2" type="noConversion"/>
  </si>
  <si>
    <t>户用及分布式工厂/生产/PCBA二车间</t>
    <phoneticPr fontId="2" type="noConversion"/>
  </si>
  <si>
    <t>户用及分布式工厂/生产/PCBA一车间</t>
    <phoneticPr fontId="2" type="noConversion"/>
  </si>
  <si>
    <t>测试运维部</t>
    <phoneticPr fontId="2" type="noConversion"/>
  </si>
  <si>
    <t>器件技术中心/功率半导体部</t>
    <phoneticPr fontId="2" type="noConversion"/>
  </si>
  <si>
    <t>功率半导体部</t>
    <phoneticPr fontId="2" type="noConversion"/>
  </si>
  <si>
    <t>工程与技术服务中心/技术平台部</t>
    <phoneticPr fontId="2" type="noConversion"/>
  </si>
  <si>
    <t>技术平台部</t>
  </si>
  <si>
    <t>整机物料仓储部</t>
    <phoneticPr fontId="2" type="noConversion"/>
  </si>
  <si>
    <t>产业园食堂电费（元）</t>
    <phoneticPr fontId="2" type="noConversion"/>
  </si>
  <si>
    <t>产业园宿舍电费（元）</t>
    <phoneticPr fontId="2" type="noConversion"/>
  </si>
  <si>
    <t>产业园宿舍电量</t>
    <phoneticPr fontId="2" type="noConversion"/>
  </si>
  <si>
    <t>单价</t>
    <phoneticPr fontId="2" type="noConversion"/>
  </si>
  <si>
    <t>质量技术部</t>
    <phoneticPr fontId="2" type="noConversion"/>
  </si>
  <si>
    <t>M2装修</t>
    <phoneticPr fontId="2" type="noConversion"/>
  </si>
  <si>
    <t>新产品研发代加工分摊</t>
    <phoneticPr fontId="2" type="noConversion"/>
  </si>
  <si>
    <t>尖峰平谷及需量总电费需要扣除储能南区10MW平台及阳光电动力尖峰平谷电费及新建项目费用</t>
    <phoneticPr fontId="2" type="noConversion"/>
  </si>
  <si>
    <t>新建项目</t>
    <phoneticPr fontId="2" type="noConversion"/>
  </si>
  <si>
    <t>制造体系/总部交付/运维</t>
  </si>
  <si>
    <t>地面光伏工厂/生产/AIDC车间</t>
    <phoneticPr fontId="2" type="noConversion"/>
  </si>
  <si>
    <t>{LAST(TD2_METE2084444318154100737::EptpS_1M,MONTHS)}</t>
  </si>
  <si>
    <t>{LAST(TD2_METE1914568051096207361::EptpS_1M,MONTHS)}</t>
  </si>
  <si>
    <t>{LAST(TD2_METE1914583206761029633::EptpS_1M,MONTHS)}</t>
  </si>
  <si>
    <t>{LAST(TD2_METE1914584355668975618::EptpS_1M,MONTHS)}</t>
  </si>
  <si>
    <t>{LAST(TD2_METE2054363614605815809::EptpS_1M,MONTHS)}</t>
  </si>
  <si>
    <t>{LAST(TD2_METE1971411988648525826::EptpS_1M,MONTHS)}</t>
  </si>
  <si>
    <t>{LAST(TD2_METE2084444318154100737::EptpP_1M,MONTHS)}</t>
  </si>
  <si>
    <t>{LAST(TD2_METE1914568051096207361::EptpP_1M,MONTHS)}</t>
  </si>
  <si>
    <t>{LAST(TD2_METE1914583206761029633::EptpP_1M,MONTHS)}</t>
  </si>
  <si>
    <t>{LAST(TD2_METE1914584355668975618::EptpP_1M,MONTHS)}</t>
  </si>
  <si>
    <t>{LAST(TD2_METE2054363614605815809::EptpP_1M,MONTHS)}</t>
  </si>
  <si>
    <t>{LAST(TD2_METE1971411988648525826::EptpP_1M,MONTHS)}</t>
  </si>
  <si>
    <t>{LAST(TD2_METE2084444318154100737::EptpF_1M,MONTHS)}</t>
  </si>
  <si>
    <t>{LAST(TD2_METE1914568051096207361::EptpF_1M,MONTHS)}</t>
  </si>
  <si>
    <t>{LAST(TD2_METE1914583206761029633::EptpF_1M,MONTHS)}</t>
  </si>
  <si>
    <t>{LAST(TD2_METE1914584355668975618::EptpF_1M,MONTHS)}</t>
  </si>
  <si>
    <t>{LAST(TD2_METE2054363614605815809::EptpF_1M,MONTHS)}</t>
  </si>
  <si>
    <t>{LAST(TD2_METE1971411988648525826::EptpF_1M,MONTHS)}</t>
  </si>
  <si>
    <t>{LAST(TD2_METE2084444318154100737::EptpV_1M,MONTHS)}</t>
  </si>
  <si>
    <t>{LAST(TD2_METE1914568051096207361::EptpV_1M,MONTHS)}</t>
  </si>
  <si>
    <t>{LAST(TD2_METE1914583206761029633::EptpV_1M,MONTHS)}</t>
  </si>
  <si>
    <t>{LAST(TD2_METE1914584355668975618::EptpV_1M,MONTHS)}</t>
  </si>
  <si>
    <t>{LAST(TD2_METE2054363614605815809::EptpV_1M,MONTHS)}</t>
  </si>
  <si>
    <t>{LAST(TD2_METE1971411988648525826::EptpV_1M,MONTHS)}</t>
  </si>
  <si>
    <t>成品仓储部</t>
    <phoneticPr fontId="2" type="noConversion"/>
  </si>
  <si>
    <t>{LAST(TD2_METE2084446407931072513::EptpS_1M,MONTHS)}</t>
  </si>
  <si>
    <t>{LAST(TD2_METE1914571501699776513::EptpS_1M,MONTHS)}</t>
  </si>
  <si>
    <t>{LAST(TD2_METE1914591563361992706::EptpS_1M,MONTHS)}</t>
  </si>
  <si>
    <t>{LAST(TD2_METE1914587701171675137::EptpS_1M,MONTHS)}</t>
  </si>
  <si>
    <t>{LAST(TD2_METE2084446407931072513::EptpP_1M,MONTHS)}</t>
  </si>
  <si>
    <t>{LAST(TD2_METE1914571501699776513::EptpP_1M,MONTHS)}</t>
  </si>
  <si>
    <t>{LAST(TD2_METE1914591563361992706::EptpP_1M,MONTHS)}</t>
  </si>
  <si>
    <t>{LAST(TD2_METE1914587701171675137::EptpP_1M,MONTHS)}</t>
  </si>
  <si>
    <t>{LAST(TD2_METE2084446407931072513::EptpF_1M,MONTHS)}</t>
  </si>
  <si>
    <t>{LAST(TD2_METE1914571501699776513::EptpF_1M,MONTHS)}</t>
  </si>
  <si>
    <t>{LAST(TD2_METE1914591563361992706::EptpF_1M,MONTHS)}</t>
  </si>
  <si>
    <t>{LAST(TD2_METE1914587701171675137::EptpF_1M,MONTHS)}</t>
  </si>
  <si>
    <t>{LAST(TD2_METE2084446407931072513::EptpV_1M,MONTHS)}</t>
  </si>
  <si>
    <t>{LAST(TD2_METE1914571501699776513::EptpV_1M,MONTHS)}</t>
  </si>
  <si>
    <t>{LAST(TD2_METE1914591563361992706::EptpV_1M,MONTHS)}</t>
  </si>
  <si>
    <t>{LAST(TD2_METE1914587701171675137::EptpV_1M,MONTHS)}</t>
  </si>
  <si>
    <t>{LAST(TD2_METE1942953833849364481::EptpS_1M,MONTHS)}</t>
  </si>
  <si>
    <t>{LAST(TD2_METE1942954150682742785::EptpS_1M,MONTHS)}</t>
  </si>
  <si>
    <t>{LAST(TD2_METE1942953833849364481::EptpP_1M,MONTHS)}</t>
  </si>
  <si>
    <t>{LAST(TD2_METE1942954150682742785::EptpP_1M,MONTHS)}</t>
  </si>
  <si>
    <t>{LAST(TD2_METE1942953833849364481::EptpF_1M,MONTHS)}</t>
  </si>
  <si>
    <t>{LAST(TD2_METE1942954150682742785::EptpF_1M,MONTHS)}</t>
  </si>
  <si>
    <t>{LAST(TD2_METE1942953833849364481::EptpV_1M,MONTHS)}</t>
  </si>
  <si>
    <t>{LAST(TD2_METE1942954150682742785::EptpV_1M,MONTHS)}</t>
  </si>
  <si>
    <t>{LAST(TD2_METE1856908633554092034::EptpS_1M,MONTHS)}</t>
  </si>
  <si>
    <t>{LAST(TD2_METE1856908633554092034::EptpV_1M,MONTHS)}</t>
    <phoneticPr fontId="2" type="noConversion"/>
  </si>
  <si>
    <t>{LAST(TD2_METE1856908633554092034::EptpF_1M,MONTHS)}</t>
    <phoneticPr fontId="2" type="noConversion"/>
  </si>
  <si>
    <t>{LAST(TD2_METE1856908633554092034::EptpP_1M,MONTHS)}</t>
    <phoneticPr fontId="2" type="noConversion"/>
  </si>
  <si>
    <t>{LAST(TD2_METE1856908633847693313::EptpS_1M,MONTHS)}</t>
  </si>
  <si>
    <t>{LAST(TD2_METE1856908633847693313::EptpP_1M,MONTHS)}</t>
    <phoneticPr fontId="2" type="noConversion"/>
  </si>
  <si>
    <t>{LAST(TD2_METE1856908633847693313::EptpF_1M,MONTHS)}</t>
    <phoneticPr fontId="2" type="noConversion"/>
  </si>
  <si>
    <t>{LAST(TD2_METE1856908633847693313::EptpV_1M,MONTHS)}</t>
    <phoneticPr fontId="2" type="noConversion"/>
  </si>
  <si>
    <t>{LAST(TD2_METE1856908633969328130::EptpS_1M,MONTHS)}</t>
  </si>
  <si>
    <t>{LAST(TD2_METE1856908633969328130::EptpP_1M,MONTHS)}</t>
    <phoneticPr fontId="2" type="noConversion"/>
  </si>
  <si>
    <t>{LAST(TD2_METE1856908633969328130::EptpF_1M,MONTHS)}</t>
    <phoneticPr fontId="2" type="noConversion"/>
  </si>
  <si>
    <t>{LAST(TD2_METE1856908633969328130::EptpV_1M,MONTHS)}</t>
    <phoneticPr fontId="2" type="noConversion"/>
  </si>
  <si>
    <t>{LAST(TD2_METE1856908634124517377::EptpS_1M,MONTHS)}</t>
  </si>
  <si>
    <t>{LAST(TD2_METE1856908634124517377::EptpP_1M,MONTHS)}</t>
    <phoneticPr fontId="2" type="noConversion"/>
  </si>
  <si>
    <t>{LAST(TD2_METE1856908634124517377::EptpF_1M,MONTHS)}</t>
    <phoneticPr fontId="2" type="noConversion"/>
  </si>
  <si>
    <t>{LAST(TD2_METE1856908634124517377::EptpV_1M,MONTHS)}</t>
    <phoneticPr fontId="2" type="noConversion"/>
  </si>
  <si>
    <t>{LAST(TD2_METE1856908633596035074::EptpS_1M,MONTHS)}</t>
  </si>
  <si>
    <t>{LAST(TD2_METE1856908633642172417::EptpS_1M,MONTHS)}</t>
  </si>
  <si>
    <t>{LAST(TD2_METE1856908633596035074::EptpP_1M,MONTHS)}</t>
  </si>
  <si>
    <t>{LAST(TD2_METE1856908633642172417::EptpP_1M,MONTHS)}</t>
  </si>
  <si>
    <t>{LAST(TD2_METE1856908633596035074::EptpF_1M,MONTHS)}</t>
  </si>
  <si>
    <t>{LAST(TD2_METE1856908633642172417::EptpF_1M,MONTHS)}</t>
  </si>
  <si>
    <t>{LAST(TD2_METE1856908633596035074::EptpV_1M,MONTHS)}</t>
  </si>
  <si>
    <t>{LAST(TD2_METE1856908633642172417::EptpV_1M,MONTHS)}</t>
  </si>
  <si>
    <t>12439.844</t>
  </si>
  <si>
    <t>41128.367</t>
  </si>
  <si>
    <t>57750.406</t>
  </si>
  <si>
    <t>64248.82</t>
  </si>
  <si>
    <t>48913.953</t>
  </si>
  <si>
    <t>148495.28</t>
  </si>
  <si>
    <t>188437.8</t>
  </si>
  <si>
    <t>237112.73</t>
  </si>
  <si>
    <t>8952.71</t>
  </si>
  <si>
    <t>28260.805</t>
  </si>
  <si>
    <t>38044.195</t>
  </si>
  <si>
    <t>47610.35</t>
  </si>
  <si>
    <t>1240.4</t>
  </si>
  <si>
    <t>3930.5</t>
  </si>
  <si>
    <t>6466.3</t>
  </si>
  <si>
    <t>8713.28</t>
  </si>
  <si>
    <t>27406.81</t>
  </si>
  <si>
    <t>29839.38</t>
  </si>
  <si>
    <t>38825.05</t>
  </si>
  <si>
    <t>16044.254</t>
  </si>
  <si>
    <t>61043.46</t>
  </si>
  <si>
    <t>83521.29</t>
  </si>
  <si>
    <t>95047.61</t>
  </si>
  <si>
    <t>8317.54</t>
  </si>
  <si>
    <t>25215.21</t>
  </si>
  <si>
    <t>35396.51</t>
  </si>
  <si>
    <t>45464.57</t>
  </si>
  <si>
    <t>10188.414</t>
  </si>
  <si>
    <t>31250.54</t>
  </si>
  <si>
    <t>41155.04</t>
  </si>
  <si>
    <t>54164.062</t>
  </si>
  <si>
    <t>4495.6377</t>
  </si>
  <si>
    <t>14244.235</t>
  </si>
  <si>
    <t>18430.668</t>
  </si>
  <si>
    <t>20900.078</t>
  </si>
  <si>
    <t>3958.8137</t>
  </si>
  <si>
    <t>13476.816</t>
  </si>
  <si>
    <t>18229.357</t>
  </si>
  <si>
    <t>18954.033</t>
  </si>
  <si>
    <t>1920.7328</t>
  </si>
  <si>
    <t>6152.3354</t>
  </si>
  <si>
    <t>7879.1533</t>
  </si>
  <si>
    <t>9825.235</t>
  </si>
  <si>
    <t>19228.795</t>
  </si>
  <si>
    <t>70559.945</t>
  </si>
  <si>
    <t>71113.35</t>
  </si>
  <si>
    <t>113250.65</t>
  </si>
  <si>
    <t>-173</t>
  </si>
  <si>
    <t>3356.8</t>
  </si>
  <si>
    <t>11483.9</t>
  </si>
  <si>
    <t>15783.8</t>
  </si>
  <si>
    <t>7273.5347</t>
  </si>
  <si>
    <t>22836.826</t>
  </si>
  <si>
    <t>30177.604</t>
  </si>
  <si>
    <t>36564.176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</si>
</sst>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¥&quot;#,##0.00_);[Red]\(&quot;¥&quot;#,##0.00\)"/>
    <numFmt numFmtId="177" formatCode="0.00_ "/>
    <numFmt numFmtId="179" formatCode="0.000_ "/>
    <numFmt numFmtId="180" formatCode="0.0_);[Red]\(0.0\)"/>
    <numFmt numFmtId="181" formatCode="0_);[Red]\(0\)"/>
  </numFmts>
  <fonts count="6">
    <font>
      <sz val="11"/>
      <color indexed="8"/>
      <name val="等线"/>
      <family val="2"/>
      <scheme val="minor"/>
    </font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8" fontId="0" fillId="0" borderId="0" xfId="0" applyNumberFormat="1">
      <alignment vertical="center"/>
    </xf>
    <xf numFmtId="10" fontId="0" fillId="0" borderId="1" xfId="1" applyNumberFormat="1" applyFont="1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8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180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179" fontId="0" fillId="0" borderId="1" xfId="0" applyNumberFormat="1" applyBorder="1">
      <alignment vertical="center"/>
    </xf>
    <xf numFmtId="2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10" fontId="3" fillId="0" borderId="1" xfId="0" applyNumberFormat="1" applyFont="1" applyBorder="1">
      <alignment vertical="center"/>
    </xf>
    <xf numFmtId="8" fontId="3" fillId="0" borderId="1" xfId="0" applyNumberFormat="1" applyFont="1" applyBorder="1">
      <alignment vertical="center"/>
    </xf>
    <xf numFmtId="8" fontId="0" fillId="0" borderId="0" xfId="1" applyNumberFormat="1" applyFont="1" applyFill="1">
      <alignment vertical="center"/>
    </xf>
    <xf numFmtId="10" fontId="0" fillId="0" borderId="0" xfId="1" applyNumberFormat="1" applyFont="1" applyFill="1">
      <alignment vertical="center"/>
    </xf>
    <xf numFmtId="8" fontId="0" fillId="3" borderId="1" xfId="0" applyNumberFormat="1" applyFill="1" applyBorder="1">
      <alignment vertical="center"/>
    </xf>
    <xf numFmtId="8" fontId="0" fillId="3" borderId="1" xfId="0" applyNumberFormat="1" applyFill="1" applyBorder="1" applyAlignment="1"/>
    <xf numFmtId="181" fontId="0" fillId="0" borderId="1" xfId="0" applyNumberFormat="1" applyBorder="1">
      <alignment vertical="center"/>
    </xf>
    <xf numFmtId="8" fontId="0" fillId="2" borderId="1" xfId="0" applyNumberFormat="1" applyFill="1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1" xfId="0" applyBorder="1">
      <alignment vertical="center"/>
    </xf>
    <xf numFmtId="8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8" fontId="0" fillId="0" borderId="1" xfId="0" applyNumberFormat="1" applyFill="1" applyBorder="1">
      <alignment vertical="center"/>
    </xf>
    <xf numFmtId="8" fontId="0" fillId="0" borderId="0" xfId="0" applyNumberFormat="1" applyFill="1">
      <alignment vertical="center"/>
    </xf>
    <xf numFmtId="10" fontId="0" fillId="0" borderId="1" xfId="0" applyNumberFormat="1" applyFill="1" applyBorder="1">
      <alignment vertical="center"/>
    </xf>
    <xf numFmtId="0" fontId="0" fillId="0" borderId="0" xfId="0" applyFill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3"/>
  <sheetViews>
    <sheetView tabSelected="1" topLeftCell="A5" zoomScaleNormal="100" workbookViewId="0">
      <selection activeCell="A38" sqref="A38"/>
    </sheetView>
  </sheetViews>
  <sheetFormatPr baseColWidth="10" defaultColWidth="8.83203125" defaultRowHeight="15"/>
  <cols>
    <col min="1" max="1" customWidth="true" width="50.0" collapsed="false"/>
    <col min="2" max="2" customWidth="true" width="24.5" collapsed="false"/>
    <col min="3" max="3" customWidth="true" width="21.5" collapsed="false"/>
    <col min="4" max="4" customWidth="true" width="24.6640625" collapsed="false"/>
    <col min="5" max="5" customWidth="true" width="56.0" collapsed="false"/>
    <col min="6" max="6" bestFit="true" customWidth="true" width="20.5" collapsed="false"/>
    <col min="7" max="7" customWidth="true" width="22.33203125" collapsed="false"/>
    <col min="8" max="8" customWidth="true" width="22.6640625" collapsed="false"/>
    <col min="9" max="10" customWidth="true" width="18.0" collapsed="false"/>
    <col min="11" max="11" customWidth="true" width="17.6640625" collapsed="false"/>
    <col min="12" max="12" customWidth="true" width="56.1640625" collapsed="false"/>
    <col min="13" max="13" customWidth="true" width="21.0" collapsed="false"/>
    <col min="14" max="14" customWidth="true" width="15.0" collapsed="false"/>
    <col min="15" max="15" customWidth="true" width="16.0" collapsed="false"/>
    <col min="16" max="16" customWidth="true" width="21.0" collapsed="false"/>
    <col min="17" max="17" customWidth="true" width="15.0" collapsed="false"/>
    <col min="18" max="18" customWidth="true" width="16.0" collapsed="false"/>
    <col min="19" max="19" customWidth="true" width="21.0" collapsed="false"/>
    <col min="20" max="20" customWidth="true" width="15.0" collapsed="false"/>
    <col min="21" max="21" customWidth="true" width="16.0" collapsed="false"/>
    <col min="22" max="22" customWidth="true" width="21.0" collapsed="false"/>
    <col min="23" max="23" customWidth="true" width="15.0" collapsed="false"/>
    <col min="24" max="24" customWidth="true" width="18.0" collapsed="false"/>
    <col min="25" max="29" customWidth="true" width="15.0" collapsed="false"/>
  </cols>
  <sheetData>
    <row r="1" spans="1:29">
      <c r="A1" s="20" t="s">
        <v>79</v>
      </c>
      <c r="B1" s="20"/>
      <c r="C1" s="20"/>
      <c r="D1" s="20"/>
      <c r="E1" s="20"/>
      <c r="F1" s="20"/>
      <c r="G1" s="20"/>
    </row>
    <row r="2" spans="1:29">
      <c r="A2" s="4"/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</row>
    <row r="3" spans="1:29">
      <c r="A3" s="4" t="s">
        <v>53</v>
      </c>
      <c r="B3" s="5"/>
      <c r="C3" s="5"/>
      <c r="D3" s="5"/>
      <c r="E3" s="5"/>
      <c r="F3" s="5"/>
      <c r="G3" s="5"/>
    </row>
    <row r="4" spans="1:29">
      <c r="A4" s="4" t="s">
        <v>54</v>
      </c>
      <c r="B4" s="16"/>
      <c r="C4" s="16"/>
      <c r="D4" s="17"/>
      <c r="E4" s="17"/>
      <c r="F4" s="17"/>
      <c r="G4" s="16"/>
    </row>
    <row r="5" spans="1:29">
      <c r="A5" s="4" t="s">
        <v>55</v>
      </c>
      <c r="B5" s="16"/>
      <c r="C5" s="16"/>
      <c r="D5" s="17"/>
      <c r="E5" s="17"/>
      <c r="F5" s="17"/>
      <c r="G5" s="16"/>
      <c r="H5" t="s">
        <v>58</v>
      </c>
    </row>
    <row r="6" spans="1:29">
      <c r="A6" t="s">
        <v>56</v>
      </c>
      <c r="B6" s="1"/>
      <c r="C6" s="1"/>
      <c r="D6" s="1"/>
      <c r="E6" s="1"/>
      <c r="F6" s="1"/>
      <c r="G6" s="1"/>
    </row>
    <row r="7" spans="1:29">
      <c r="A7" t="s">
        <v>57</v>
      </c>
      <c r="B7" s="1"/>
      <c r="C7" s="1"/>
      <c r="D7" s="1"/>
      <c r="E7" s="1"/>
      <c r="F7" s="1"/>
      <c r="G7" s="1"/>
    </row>
    <row r="8" spans="1:29">
      <c r="B8" s="1"/>
      <c r="C8" s="1"/>
    </row>
    <row r="9" spans="1:29">
      <c r="C9" s="1"/>
    </row>
    <row r="13" spans="1:29">
      <c r="A13" s="4" t="s">
        <v>0</v>
      </c>
      <c r="B13" s="4" t="s">
        <v>1</v>
      </c>
      <c r="C13" s="4" t="s">
        <v>2</v>
      </c>
      <c r="D13" s="4" t="s">
        <v>63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61</v>
      </c>
      <c r="K13" s="4" t="s">
        <v>8</v>
      </c>
      <c r="L13" s="4" t="s">
        <v>9</v>
      </c>
      <c r="M13" s="4" t="s">
        <v>10</v>
      </c>
      <c r="N13" s="4" t="s">
        <v>11</v>
      </c>
      <c r="O13" s="4" t="s">
        <v>12</v>
      </c>
      <c r="P13" s="4" t="s">
        <v>13</v>
      </c>
      <c r="Q13" s="4" t="s">
        <v>14</v>
      </c>
      <c r="R13" s="4" t="s">
        <v>15</v>
      </c>
      <c r="S13" s="4" t="s">
        <v>16</v>
      </c>
      <c r="T13" s="4" t="s">
        <v>17</v>
      </c>
      <c r="U13" s="4" t="s">
        <v>18</v>
      </c>
      <c r="V13" s="4" t="s">
        <v>19</v>
      </c>
      <c r="W13" s="4" t="s">
        <v>20</v>
      </c>
      <c r="X13" s="4" t="s">
        <v>21</v>
      </c>
      <c r="Y13" t="s">
        <v>22</v>
      </c>
      <c r="Z13" t="s">
        <v>23</v>
      </c>
      <c r="AA13" t="s">
        <v>24</v>
      </c>
      <c r="AB13" t="s">
        <v>25</v>
      </c>
      <c r="AC13" t="s">
        <v>26</v>
      </c>
    </row>
    <row r="14" spans="1:29">
      <c r="A14" s="21" t="s">
        <v>27</v>
      </c>
      <c r="B14" s="21">
        <f>SUM(O14:O19,R14:R19,U14:U19)</f>
        <v>0</v>
      </c>
      <c r="C14" s="21"/>
      <c r="D14" s="22" t="e">
        <f>SUM(K14:K19)/B14</f>
        <v>#DIV/0!</v>
      </c>
      <c r="E14" s="4" t="s">
        <v>71</v>
      </c>
      <c r="F14">
        <v>1000040571</v>
      </c>
      <c r="G14" s="4">
        <v>1399.7</v>
      </c>
      <c r="H14" s="4" t="e">
        <f>O14+R14+U14</f>
        <v>#VALUE!</v>
      </c>
      <c r="I14" s="4">
        <v>1.87</v>
      </c>
      <c r="J14" s="2" t="e">
        <f>G14/$G$41</f>
        <v>#REF!</v>
      </c>
      <c r="K14" s="1"/>
      <c r="L14" s="4" t="s">
        <v>28</v>
      </c>
      <c r="M14" s="6" t="e">
        <f>L14/$L$41</f>
        <v>#VALUE!</v>
      </c>
      <c r="N14" s="5" t="e">
        <f>$C$3*M14</f>
        <v>#VALUE!</v>
      </c>
      <c r="O14" s="4" t="s">
        <v>28</v>
      </c>
      <c r="P14" s="6" t="e">
        <f>O14/$O$41</f>
        <v>#VALUE!</v>
      </c>
      <c r="Q14" s="5" t="e">
        <f>$D$3*P14</f>
        <v>#VALUE!</v>
      </c>
      <c r="R14" s="4" t="s">
        <v>28</v>
      </c>
      <c r="S14" s="2" t="e">
        <f>R14/$R$41</f>
        <v>#VALUE!</v>
      </c>
      <c r="T14" s="5" t="e">
        <f>$E$3*S14</f>
        <v>#VALUE!</v>
      </c>
      <c r="U14" s="4" t="s">
        <v>28</v>
      </c>
      <c r="V14" s="6" t="e">
        <f>U14/$U$41</f>
        <v>#VALUE!</v>
      </c>
      <c r="W14" s="5" t="e">
        <f>V14*$F$3</f>
        <v>#VALUE!</v>
      </c>
      <c r="X14" s="5" t="e">
        <f>$G$3*J14</f>
        <v>#REF!</v>
      </c>
      <c r="Y14" t="s">
        <v>28</v>
      </c>
      <c r="Z14" t="s">
        <v>28</v>
      </c>
      <c r="AA14" t="s">
        <v>28</v>
      </c>
      <c r="AB14" t="s">
        <v>28</v>
      </c>
      <c r="AC14" t="s">
        <v>28</v>
      </c>
    </row>
    <row r="15" spans="1:29">
      <c r="A15" s="21" t="s">
        <v>27</v>
      </c>
      <c r="B15" s="21">
        <v>4234381.5</v>
      </c>
      <c r="C15" s="21"/>
      <c r="D15" s="21" t="s">
        <v>28</v>
      </c>
      <c r="E15" s="4" t="s">
        <v>29</v>
      </c>
      <c r="F15" s="4">
        <v>1000040150</v>
      </c>
      <c r="G15" s="4">
        <v>2763</v>
      </c>
      <c r="H15" s="4" t="e">
        <f t="shared" ref="H15:H37" si="0">O15+R15+U15</f>
        <v>#VALUE!</v>
      </c>
      <c r="I15" s="4">
        <v>5.49</v>
      </c>
      <c r="J15" s="2" t="e">
        <f>G15/$G$41</f>
        <v>#REF!</v>
      </c>
      <c r="K15" s="1"/>
      <c r="L15" s="4" t="s">
        <v>156</v>
      </c>
      <c r="M15" s="6" t="e">
        <f>L15/$L$41</f>
        <v>#VALUE!</v>
      </c>
      <c r="N15" s="5" t="e">
        <f t="shared" ref="N15:N31" si="1">$C$3*M15</f>
        <v>#VALUE!</v>
      </c>
      <c r="O15" s="4" t="s">
        <v>157</v>
      </c>
      <c r="P15" s="6" t="e">
        <f>O15/$O$41</f>
        <v>#VALUE!</v>
      </c>
      <c r="Q15" s="5" t="e">
        <f t="shared" ref="Q15:Q37" si="2">$D$3*P15</f>
        <v>#VALUE!</v>
      </c>
      <c r="R15" s="4" t="s">
        <v>158</v>
      </c>
      <c r="S15" s="2" t="e">
        <f>R15/$R$41</f>
        <v>#VALUE!</v>
      </c>
      <c r="T15" s="5" t="e">
        <f t="shared" ref="T15:T37" si="3">$E$3*S15</f>
        <v>#VALUE!</v>
      </c>
      <c r="U15" s="4" t="s">
        <v>159</v>
      </c>
      <c r="V15" s="6" t="e">
        <f>U15/$U$41</f>
        <v>#VALUE!</v>
      </c>
      <c r="W15" s="5" t="e">
        <f t="shared" ref="W15:W37" si="4">V15*$F$3</f>
        <v>#VALUE!</v>
      </c>
      <c r="X15" s="5" t="e">
        <f t="shared" ref="X15:X37" si="5">$G$3*J15</f>
        <v>#REF!</v>
      </c>
      <c r="Y15" t="s">
        <v>28</v>
      </c>
      <c r="Z15" t="s">
        <v>28</v>
      </c>
      <c r="AA15" t="s">
        <v>28</v>
      </c>
      <c r="AB15" t="s">
        <v>28</v>
      </c>
      <c r="AC15" t="s">
        <v>28</v>
      </c>
    </row>
    <row r="16" spans="1:29">
      <c r="A16" s="21" t="s">
        <v>27</v>
      </c>
      <c r="B16" s="21">
        <v>4234381.5</v>
      </c>
      <c r="C16" s="21"/>
      <c r="D16" s="21" t="s">
        <v>28</v>
      </c>
      <c r="E16" s="4" t="s">
        <v>30</v>
      </c>
      <c r="F16" s="4">
        <v>1000040110</v>
      </c>
      <c r="G16" s="4">
        <v>4162</v>
      </c>
      <c r="H16" s="4" t="e">
        <f t="shared" si="0"/>
        <v>#VALUE!</v>
      </c>
      <c r="I16" s="4">
        <v>15.26</v>
      </c>
      <c r="J16" s="2" t="e">
        <f>G16/$G$41</f>
        <v>#REF!</v>
      </c>
      <c r="K16" s="1"/>
      <c r="L16" s="4" t="s">
        <v>160</v>
      </c>
      <c r="M16" s="6" t="e">
        <f>L16/$L$41</f>
        <v>#VALUE!</v>
      </c>
      <c r="N16" s="5" t="e">
        <f t="shared" si="1"/>
        <v>#VALUE!</v>
      </c>
      <c r="O16" s="4" t="s">
        <v>161</v>
      </c>
      <c r="P16" s="6" t="e">
        <f>O16/$O$41</f>
        <v>#VALUE!</v>
      </c>
      <c r="Q16" s="5" t="e">
        <f t="shared" si="2"/>
        <v>#VALUE!</v>
      </c>
      <c r="R16" s="4" t="s">
        <v>162</v>
      </c>
      <c r="S16" s="2" t="e">
        <f>R16/$R$41</f>
        <v>#VALUE!</v>
      </c>
      <c r="T16" s="5" t="e">
        <f t="shared" si="3"/>
        <v>#VALUE!</v>
      </c>
      <c r="U16" s="4" t="s">
        <v>163</v>
      </c>
      <c r="V16" s="6" t="e">
        <f>U16/$U$41</f>
        <v>#VALUE!</v>
      </c>
      <c r="W16" s="5" t="e">
        <f t="shared" si="4"/>
        <v>#VALUE!</v>
      </c>
      <c r="X16" s="5" t="e">
        <f t="shared" si="5"/>
        <v>#REF!</v>
      </c>
      <c r="Y16" t="s">
        <v>28</v>
      </c>
      <c r="Z16" t="s">
        <v>28</v>
      </c>
      <c r="AA16" t="s">
        <v>28</v>
      </c>
      <c r="AB16" t="s">
        <v>28</v>
      </c>
      <c r="AC16" t="s">
        <v>28</v>
      </c>
    </row>
    <row r="17" spans="1:29">
      <c r="A17" s="21" t="s">
        <v>27</v>
      </c>
      <c r="B17" s="21">
        <v>4234381.5</v>
      </c>
      <c r="C17" s="21"/>
      <c r="D17" s="21" t="s">
        <v>28</v>
      </c>
      <c r="E17" s="4" t="s">
        <v>31</v>
      </c>
      <c r="F17" s="4">
        <v>1000040103</v>
      </c>
      <c r="G17" s="4">
        <v>1212</v>
      </c>
      <c r="H17" s="4" t="e">
        <f t="shared" si="0"/>
        <v>#VALUE!</v>
      </c>
      <c r="I17" s="4">
        <v>2.98</v>
      </c>
      <c r="J17" s="2" t="e">
        <f>G17/$G$41</f>
        <v>#REF!</v>
      </c>
      <c r="K17" s="1"/>
      <c r="L17" s="4" t="s">
        <v>164</v>
      </c>
      <c r="M17" s="6" t="e">
        <f>L17/$L$41</f>
        <v>#VALUE!</v>
      </c>
      <c r="N17" s="5" t="e">
        <f t="shared" si="1"/>
        <v>#VALUE!</v>
      </c>
      <c r="O17" s="4" t="s">
        <v>165</v>
      </c>
      <c r="P17" s="6" t="e">
        <f>O17/$O$41</f>
        <v>#VALUE!</v>
      </c>
      <c r="Q17" s="5" t="e">
        <f t="shared" si="2"/>
        <v>#VALUE!</v>
      </c>
      <c r="R17" s="4" t="s">
        <v>166</v>
      </c>
      <c r="S17" s="2" t="e">
        <f>R17/$R$41</f>
        <v>#VALUE!</v>
      </c>
      <c r="T17" s="5" t="e">
        <f t="shared" si="3"/>
        <v>#VALUE!</v>
      </c>
      <c r="U17" s="4" t="s">
        <v>167</v>
      </c>
      <c r="V17" s="6" t="e">
        <f>U17/$U$41</f>
        <v>#VALUE!</v>
      </c>
      <c r="W17" s="5" t="e">
        <f t="shared" si="4"/>
        <v>#VALUE!</v>
      </c>
      <c r="X17" s="5" t="e">
        <f t="shared" si="5"/>
        <v>#REF!</v>
      </c>
      <c r="Y17" t="s">
        <v>28</v>
      </c>
      <c r="Z17" t="s">
        <v>28</v>
      </c>
      <c r="AA17" t="s">
        <v>28</v>
      </c>
      <c r="AB17" t="s">
        <v>28</v>
      </c>
      <c r="AC17" t="s">
        <v>28</v>
      </c>
    </row>
    <row r="18" spans="1:29">
      <c r="A18" s="21"/>
      <c r="B18" s="21"/>
      <c r="C18" s="21"/>
      <c r="D18" s="21"/>
      <c r="E18" s="4" t="s">
        <v>82</v>
      </c>
      <c r="F18" s="4">
        <v>1000020333</v>
      </c>
      <c r="G18" s="4"/>
      <c r="H18" s="4"/>
      <c r="I18" s="4"/>
      <c r="J18" s="2"/>
      <c r="K18" s="1"/>
      <c r="L18" s="4" t="s">
        <v>168</v>
      </c>
      <c r="M18" s="6"/>
      <c r="N18" s="5"/>
      <c r="O18" s="4" t="s">
        <v>169</v>
      </c>
      <c r="P18" s="6"/>
      <c r="Q18" s="5"/>
      <c r="R18" s="4" t="n">
        <v>4864.0</v>
      </c>
      <c r="S18" s="2"/>
      <c r="T18" s="5"/>
      <c r="U18" s="4" t="s">
        <v>170</v>
      </c>
      <c r="V18" s="6"/>
      <c r="W18" s="5"/>
      <c r="X18" s="5"/>
    </row>
    <row r="19" spans="1:29">
      <c r="A19" s="21" t="s">
        <v>27</v>
      </c>
      <c r="B19" s="21">
        <v>4234381.5</v>
      </c>
      <c r="C19" s="21"/>
      <c r="D19" s="21" t="s">
        <v>28</v>
      </c>
      <c r="E19" s="4" t="s">
        <v>32</v>
      </c>
      <c r="F19" s="4">
        <v>1000040141</v>
      </c>
      <c r="G19" s="4">
        <v>858.6</v>
      </c>
      <c r="H19" s="4" t="e">
        <f t="shared" si="0"/>
        <v>#VALUE!</v>
      </c>
      <c r="I19" s="4">
        <v>3.24</v>
      </c>
      <c r="J19" s="2" t="e">
        <f t="shared" ref="J19:J25" si="6">G19/$G$41</f>
        <v>#REF!</v>
      </c>
      <c r="K19" s="1"/>
      <c r="L19" s="4" t="s">
        <v>171</v>
      </c>
      <c r="M19" s="6" t="e">
        <f t="shared" ref="M19:M25" si="7">L19/$L$41</f>
        <v>#VALUE!</v>
      </c>
      <c r="N19" s="5" t="e">
        <f t="shared" si="1"/>
        <v>#VALUE!</v>
      </c>
      <c r="O19" s="4" t="s">
        <v>172</v>
      </c>
      <c r="P19" s="6" t="e">
        <f t="shared" ref="P19:P25" si="8">O19/$O$41</f>
        <v>#VALUE!</v>
      </c>
      <c r="Q19" s="5" t="e">
        <f t="shared" si="2"/>
        <v>#VALUE!</v>
      </c>
      <c r="R19" s="4" t="s">
        <v>173</v>
      </c>
      <c r="S19" s="2" t="e">
        <f t="shared" ref="S19:S25" si="9">R19/$R$41</f>
        <v>#VALUE!</v>
      </c>
      <c r="T19" s="5" t="e">
        <f t="shared" si="3"/>
        <v>#VALUE!</v>
      </c>
      <c r="U19" s="4" t="s">
        <v>174</v>
      </c>
      <c r="V19" s="6" t="e">
        <f t="shared" ref="V19:V25" si="10">U19/$U$41</f>
        <v>#VALUE!</v>
      </c>
      <c r="W19" s="5" t="e">
        <f t="shared" si="4"/>
        <v>#VALUE!</v>
      </c>
      <c r="X19" s="5" t="e">
        <f t="shared" si="5"/>
        <v>#REF!</v>
      </c>
      <c r="Y19" t="s">
        <v>28</v>
      </c>
      <c r="Z19" t="s">
        <v>28</v>
      </c>
      <c r="AA19" t="s">
        <v>28</v>
      </c>
      <c r="AB19" t="s">
        <v>28</v>
      </c>
      <c r="AC19" t="s">
        <v>28</v>
      </c>
    </row>
    <row r="20" spans="1:29">
      <c r="A20" s="21" t="s">
        <v>33</v>
      </c>
      <c r="B20" s="21">
        <f>SUM(O20:O23,R20:R23,U20:U23)</f>
        <v>0</v>
      </c>
      <c r="C20" s="21"/>
      <c r="D20" s="22" t="e">
        <f>SUM(K20:K23)/B20</f>
        <v>#DIV/0!</v>
      </c>
      <c r="E20" t="s">
        <v>107</v>
      </c>
      <c r="F20">
        <v>1000040572</v>
      </c>
      <c r="G20" s="4">
        <v>56.3</v>
      </c>
      <c r="H20" s="4" t="e">
        <f t="shared" si="0"/>
        <v>#VALUE!</v>
      </c>
      <c r="I20" s="4">
        <v>0.28000000000000003</v>
      </c>
      <c r="J20" s="2" t="e">
        <f t="shared" si="6"/>
        <v>#REF!</v>
      </c>
      <c r="K20" s="1"/>
      <c r="L20" s="4" t="s">
        <v>28</v>
      </c>
      <c r="M20" s="6" t="e">
        <f t="shared" si="7"/>
        <v>#VALUE!</v>
      </c>
      <c r="N20" s="5" t="e">
        <f t="shared" si="1"/>
        <v>#VALUE!</v>
      </c>
      <c r="O20" s="4" t="s">
        <v>28</v>
      </c>
      <c r="P20" s="6" t="e">
        <f t="shared" si="8"/>
        <v>#VALUE!</v>
      </c>
      <c r="Q20" s="5" t="e">
        <f t="shared" si="2"/>
        <v>#VALUE!</v>
      </c>
      <c r="R20" s="4" t="s">
        <v>28</v>
      </c>
      <c r="S20" s="2" t="e">
        <f t="shared" si="9"/>
        <v>#VALUE!</v>
      </c>
      <c r="T20" s="5" t="e">
        <f t="shared" si="3"/>
        <v>#VALUE!</v>
      </c>
      <c r="U20" s="4" t="s">
        <v>28</v>
      </c>
      <c r="V20" s="6" t="e">
        <f t="shared" si="10"/>
        <v>#VALUE!</v>
      </c>
      <c r="W20" s="5" t="e">
        <f t="shared" si="4"/>
        <v>#VALUE!</v>
      </c>
      <c r="X20" s="5" t="e">
        <f t="shared" si="5"/>
        <v>#REF!</v>
      </c>
      <c r="Y20" t="s">
        <v>28</v>
      </c>
      <c r="Z20" t="s">
        <v>28</v>
      </c>
      <c r="AA20" t="s">
        <v>28</v>
      </c>
      <c r="AB20" t="s">
        <v>28</v>
      </c>
      <c r="AC20" t="s">
        <v>28</v>
      </c>
    </row>
    <row r="21" spans="1:29">
      <c r="A21" s="21" t="s">
        <v>33</v>
      </c>
      <c r="B21" s="21">
        <v>2772578.5</v>
      </c>
      <c r="C21" s="21"/>
      <c r="D21" s="21" t="s">
        <v>28</v>
      </c>
      <c r="E21" s="4" t="s">
        <v>34</v>
      </c>
      <c r="F21" s="4">
        <v>1000040111</v>
      </c>
      <c r="G21" s="4">
        <v>3803.5</v>
      </c>
      <c r="H21" s="4" t="e">
        <f t="shared" si="0"/>
        <v>#VALUE!</v>
      </c>
      <c r="I21" s="4">
        <v>8.91</v>
      </c>
      <c r="J21" s="2" t="e">
        <f t="shared" si="6"/>
        <v>#REF!</v>
      </c>
      <c r="K21" s="1"/>
      <c r="L21" s="4" t="s">
        <v>175</v>
      </c>
      <c r="M21" s="6" t="e">
        <f t="shared" si="7"/>
        <v>#VALUE!</v>
      </c>
      <c r="N21" s="5" t="e">
        <f t="shared" si="1"/>
        <v>#VALUE!</v>
      </c>
      <c r="O21" s="4" t="s">
        <v>176</v>
      </c>
      <c r="P21" s="6" t="e">
        <f t="shared" si="8"/>
        <v>#VALUE!</v>
      </c>
      <c r="Q21" s="5" t="e">
        <f t="shared" si="2"/>
        <v>#VALUE!</v>
      </c>
      <c r="R21" s="4" t="s">
        <v>177</v>
      </c>
      <c r="S21" s="2" t="e">
        <f t="shared" si="9"/>
        <v>#VALUE!</v>
      </c>
      <c r="T21" s="5" t="e">
        <f t="shared" si="3"/>
        <v>#VALUE!</v>
      </c>
      <c r="U21" s="4" t="s">
        <v>178</v>
      </c>
      <c r="V21" s="6" t="e">
        <f t="shared" si="10"/>
        <v>#VALUE!</v>
      </c>
      <c r="W21" s="5" t="e">
        <f t="shared" si="4"/>
        <v>#VALUE!</v>
      </c>
      <c r="X21" s="5" t="e">
        <f t="shared" si="5"/>
        <v>#REF!</v>
      </c>
      <c r="Y21" t="s">
        <v>28</v>
      </c>
      <c r="Z21" t="s">
        <v>28</v>
      </c>
      <c r="AA21" t="s">
        <v>28</v>
      </c>
      <c r="AB21" t="s">
        <v>28</v>
      </c>
      <c r="AC21" t="s">
        <v>28</v>
      </c>
    </row>
    <row r="22" spans="1:29">
      <c r="A22" s="21" t="s">
        <v>33</v>
      </c>
      <c r="B22" s="21">
        <v>2772578.5</v>
      </c>
      <c r="C22" s="21"/>
      <c r="D22" s="21" t="s">
        <v>28</v>
      </c>
      <c r="E22" s="4" t="s">
        <v>65</v>
      </c>
      <c r="F22" s="4">
        <v>1000040100</v>
      </c>
      <c r="G22" s="4">
        <v>370.2</v>
      </c>
      <c r="H22" s="4" t="e">
        <f t="shared" si="0"/>
        <v>#VALUE!</v>
      </c>
      <c r="I22" s="4">
        <v>2.56</v>
      </c>
      <c r="J22" s="2" t="e">
        <f t="shared" si="6"/>
        <v>#REF!</v>
      </c>
      <c r="K22" s="1"/>
      <c r="L22" s="4" t="s">
        <v>179</v>
      </c>
      <c r="M22" s="6" t="e">
        <f t="shared" si="7"/>
        <v>#VALUE!</v>
      </c>
      <c r="N22" s="5" t="e">
        <f t="shared" si="1"/>
        <v>#VALUE!</v>
      </c>
      <c r="O22" s="4" t="s">
        <v>180</v>
      </c>
      <c r="P22" s="6" t="e">
        <f t="shared" si="8"/>
        <v>#VALUE!</v>
      </c>
      <c r="Q22" s="5" t="e">
        <f t="shared" si="2"/>
        <v>#VALUE!</v>
      </c>
      <c r="R22" s="4" t="s">
        <v>181</v>
      </c>
      <c r="S22" s="2" t="e">
        <f t="shared" si="9"/>
        <v>#VALUE!</v>
      </c>
      <c r="T22" s="5" t="e">
        <f t="shared" si="3"/>
        <v>#VALUE!</v>
      </c>
      <c r="U22" s="4" t="s">
        <v>182</v>
      </c>
      <c r="V22" s="6" t="e">
        <f t="shared" si="10"/>
        <v>#VALUE!</v>
      </c>
      <c r="W22" s="5" t="e">
        <f t="shared" si="4"/>
        <v>#VALUE!</v>
      </c>
      <c r="X22" s="5" t="e">
        <f t="shared" si="5"/>
        <v>#REF!</v>
      </c>
      <c r="Y22" t="s">
        <v>28</v>
      </c>
      <c r="Z22" t="s">
        <v>28</v>
      </c>
      <c r="AA22" t="s">
        <v>28</v>
      </c>
      <c r="AB22" t="s">
        <v>28</v>
      </c>
      <c r="AC22" t="s">
        <v>28</v>
      </c>
    </row>
    <row r="23" spans="1:29">
      <c r="A23" s="21" t="s">
        <v>33</v>
      </c>
      <c r="B23" s="21">
        <v>2772578.5</v>
      </c>
      <c r="C23" s="21"/>
      <c r="D23" s="21" t="s">
        <v>28</v>
      </c>
      <c r="E23" s="4" t="s">
        <v>64</v>
      </c>
      <c r="F23" s="4">
        <v>1000040100</v>
      </c>
      <c r="G23" s="4">
        <v>2016</v>
      </c>
      <c r="H23" s="4" t="e">
        <f t="shared" si="0"/>
        <v>#VALUE!</v>
      </c>
      <c r="I23" s="4">
        <v>5</v>
      </c>
      <c r="J23" s="2" t="e">
        <f t="shared" si="6"/>
        <v>#REF!</v>
      </c>
      <c r="K23" s="1"/>
      <c r="L23" s="4" t="s">
        <v>183</v>
      </c>
      <c r="M23" s="6" t="e">
        <f t="shared" si="7"/>
        <v>#VALUE!</v>
      </c>
      <c r="N23" s="5" t="e">
        <f t="shared" si="1"/>
        <v>#VALUE!</v>
      </c>
      <c r="O23" s="4" t="s">
        <v>184</v>
      </c>
      <c r="P23" s="6" t="e">
        <f t="shared" si="8"/>
        <v>#VALUE!</v>
      </c>
      <c r="Q23" s="5" t="e">
        <f t="shared" si="2"/>
        <v>#VALUE!</v>
      </c>
      <c r="R23" s="4" t="s">
        <v>185</v>
      </c>
      <c r="S23" s="2" t="e">
        <f t="shared" si="9"/>
        <v>#VALUE!</v>
      </c>
      <c r="T23" s="5" t="e">
        <f t="shared" si="3"/>
        <v>#VALUE!</v>
      </c>
      <c r="U23" s="4" t="s">
        <v>186</v>
      </c>
      <c r="V23" s="6" t="e">
        <f t="shared" si="10"/>
        <v>#VALUE!</v>
      </c>
      <c r="W23" s="5" t="e">
        <f t="shared" si="4"/>
        <v>#VALUE!</v>
      </c>
      <c r="X23" s="5" t="e">
        <f t="shared" si="5"/>
        <v>#REF!</v>
      </c>
      <c r="Y23" t="s">
        <v>28</v>
      </c>
      <c r="Z23" t="s">
        <v>28</v>
      </c>
      <c r="AA23" t="s">
        <v>28</v>
      </c>
      <c r="AB23" t="s">
        <v>28</v>
      </c>
      <c r="AC23" t="s">
        <v>28</v>
      </c>
    </row>
    <row r="24" spans="1:29">
      <c r="A24" s="21" t="s">
        <v>35</v>
      </c>
      <c r="B24" s="21">
        <v>1365455</v>
      </c>
      <c r="C24" s="21"/>
      <c r="D24" s="21" t="s">
        <v>28</v>
      </c>
      <c r="E24" s="4" t="s">
        <v>36</v>
      </c>
      <c r="F24" s="4">
        <v>1000040160</v>
      </c>
      <c r="G24" s="4">
        <v>1516.1</v>
      </c>
      <c r="H24" s="4" t="e">
        <f t="shared" si="0"/>
        <v>#VALUE!</v>
      </c>
      <c r="I24" s="4">
        <v>3.25</v>
      </c>
      <c r="J24" s="2" t="e">
        <f t="shared" si="6"/>
        <v>#REF!</v>
      </c>
      <c r="K24" s="1"/>
      <c r="L24" s="4" t="s">
        <v>187</v>
      </c>
      <c r="M24" s="6" t="e">
        <f t="shared" si="7"/>
        <v>#VALUE!</v>
      </c>
      <c r="N24" s="5" t="e">
        <f t="shared" si="1"/>
        <v>#VALUE!</v>
      </c>
      <c r="O24" s="4" t="s">
        <v>188</v>
      </c>
      <c r="P24" s="6" t="e">
        <f t="shared" si="8"/>
        <v>#VALUE!</v>
      </c>
      <c r="Q24" s="5" t="e">
        <f t="shared" si="2"/>
        <v>#VALUE!</v>
      </c>
      <c r="R24" s="4" t="s">
        <v>189</v>
      </c>
      <c r="S24" s="2" t="e">
        <f t="shared" si="9"/>
        <v>#VALUE!</v>
      </c>
      <c r="T24" s="5" t="e">
        <f t="shared" si="3"/>
        <v>#VALUE!</v>
      </c>
      <c r="U24" s="4" t="s">
        <v>190</v>
      </c>
      <c r="V24" s="6" t="e">
        <f t="shared" si="10"/>
        <v>#VALUE!</v>
      </c>
      <c r="W24" s="5" t="e">
        <f t="shared" si="4"/>
        <v>#VALUE!</v>
      </c>
      <c r="X24" s="5" t="e">
        <f t="shared" si="5"/>
        <v>#REF!</v>
      </c>
      <c r="Y24" t="s">
        <v>28</v>
      </c>
      <c r="Z24" t="s">
        <v>28</v>
      </c>
      <c r="AA24" t="s">
        <v>28</v>
      </c>
      <c r="AB24" t="s">
        <v>28</v>
      </c>
      <c r="AC24" t="s">
        <v>28</v>
      </c>
    </row>
    <row r="25" spans="1:29">
      <c r="A25" s="21" t="s">
        <v>35</v>
      </c>
      <c r="B25" s="21">
        <v>1365455</v>
      </c>
      <c r="C25" s="21"/>
      <c r="D25" s="21" t="s">
        <v>28</v>
      </c>
      <c r="E25" s="4" t="s">
        <v>37</v>
      </c>
      <c r="F25" s="4">
        <v>1000040130</v>
      </c>
      <c r="G25" s="4">
        <v>968</v>
      </c>
      <c r="H25" s="4" t="e">
        <f t="shared" si="0"/>
        <v>#VALUE!</v>
      </c>
      <c r="I25" s="4">
        <v>1.96</v>
      </c>
      <c r="J25" s="2" t="e">
        <f t="shared" si="6"/>
        <v>#REF!</v>
      </c>
      <c r="K25" s="1"/>
      <c r="L25" s="4" t="s">
        <v>191</v>
      </c>
      <c r="M25" s="6" t="e">
        <f t="shared" si="7"/>
        <v>#VALUE!</v>
      </c>
      <c r="N25" s="5" t="e">
        <f t="shared" si="1"/>
        <v>#VALUE!</v>
      </c>
      <c r="O25" s="4" t="s">
        <v>192</v>
      </c>
      <c r="P25" s="6" t="e">
        <f t="shared" si="8"/>
        <v>#VALUE!</v>
      </c>
      <c r="Q25" s="5" t="e">
        <f t="shared" si="2"/>
        <v>#VALUE!</v>
      </c>
      <c r="R25" s="4" t="s">
        <v>193</v>
      </c>
      <c r="S25" s="2" t="e">
        <f t="shared" si="9"/>
        <v>#VALUE!</v>
      </c>
      <c r="T25" s="5" t="e">
        <f t="shared" si="3"/>
        <v>#VALUE!</v>
      </c>
      <c r="U25" s="4" t="s">
        <v>194</v>
      </c>
      <c r="V25" s="6" t="e">
        <f t="shared" si="10"/>
        <v>#VALUE!</v>
      </c>
      <c r="W25" s="5" t="e">
        <f t="shared" si="4"/>
        <v>#VALUE!</v>
      </c>
      <c r="X25" s="5" t="e">
        <f t="shared" si="5"/>
        <v>#REF!</v>
      </c>
      <c r="Y25" t="s">
        <v>28</v>
      </c>
      <c r="Z25" t="s">
        <v>28</v>
      </c>
      <c r="AA25" t="s">
        <v>28</v>
      </c>
      <c r="AB25" t="s">
        <v>28</v>
      </c>
      <c r="AC25" t="s">
        <v>28</v>
      </c>
    </row>
    <row r="26" spans="1:29">
      <c r="A26" s="4" t="s">
        <v>66</v>
      </c>
      <c r="B26" s="4"/>
      <c r="C26" s="4"/>
      <c r="D26" s="4"/>
      <c r="E26" t="s">
        <v>81</v>
      </c>
      <c r="F26">
        <v>1000040541</v>
      </c>
      <c r="G26" s="4"/>
      <c r="H26" s="7">
        <v>3979.4210526315787</v>
      </c>
      <c r="I26" s="4"/>
      <c r="J26" s="2"/>
      <c r="K26" s="1"/>
      <c r="L26" s="4"/>
      <c r="M26" s="6"/>
      <c r="N26" s="5"/>
      <c r="O26" s="4"/>
      <c r="P26" s="6"/>
      <c r="Q26" s="5"/>
      <c r="R26" s="4"/>
      <c r="S26" s="2"/>
      <c r="T26" s="5"/>
      <c r="U26" s="4"/>
      <c r="V26" s="6"/>
      <c r="W26" s="5"/>
      <c r="X26" s="5"/>
    </row>
    <row r="27" spans="1:29">
      <c r="A27" s="4" t="s">
        <v>68</v>
      </c>
      <c r="B27" s="4"/>
      <c r="C27" s="4"/>
      <c r="D27" s="4"/>
      <c r="E27" s="4" t="s">
        <v>67</v>
      </c>
      <c r="F27" s="4">
        <v>1000022066</v>
      </c>
      <c r="G27" s="4"/>
      <c r="H27" s="7">
        <v>2310</v>
      </c>
      <c r="I27" s="4"/>
      <c r="J27" s="2"/>
      <c r="K27" s="1"/>
      <c r="L27" s="4"/>
      <c r="M27" s="6"/>
      <c r="N27" s="5"/>
      <c r="O27" s="4"/>
      <c r="P27" s="6"/>
      <c r="Q27" s="5"/>
      <c r="R27" s="4"/>
      <c r="S27" s="2"/>
      <c r="T27" s="5"/>
      <c r="U27" s="4"/>
      <c r="V27" s="6"/>
      <c r="W27" s="5"/>
      <c r="X27" s="5"/>
    </row>
    <row r="28" spans="1:29">
      <c r="A28" s="4" t="s">
        <v>70</v>
      </c>
      <c r="B28" s="4"/>
      <c r="C28" s="4"/>
      <c r="D28" s="4"/>
      <c r="E28" s="4" t="s">
        <v>69</v>
      </c>
      <c r="F28" s="4">
        <v>1000030594</v>
      </c>
      <c r="G28" s="4"/>
      <c r="H28" s="7">
        <v>13661.57894736842</v>
      </c>
      <c r="I28" s="4"/>
      <c r="J28" s="2"/>
      <c r="K28" s="1"/>
      <c r="L28" s="4"/>
      <c r="M28" s="6"/>
      <c r="N28" s="5"/>
      <c r="O28" s="4"/>
      <c r="P28" s="6"/>
      <c r="Q28" s="5"/>
      <c r="R28" s="4"/>
      <c r="S28" s="2"/>
      <c r="T28" s="5"/>
      <c r="U28" s="4"/>
      <c r="V28" s="6"/>
      <c r="W28" s="5"/>
      <c r="X28" s="5"/>
    </row>
    <row r="29" spans="1:29" s="27" customFormat="1">
      <c r="A29" s="23" t="s">
        <v>38</v>
      </c>
      <c r="B29" s="23" t="e">
        <f>#REF!</f>
        <v>#REF!</v>
      </c>
      <c r="C29" s="23"/>
      <c r="D29" s="24" t="e">
        <f>K29/(B29+#REF!)</f>
        <v>#REF!</v>
      </c>
      <c r="E29" s="23" t="s">
        <v>60</v>
      </c>
      <c r="F29" s="23" t="s">
        <v>28</v>
      </c>
      <c r="G29" s="23" t="e">
        <f>#REF!</f>
        <v>#REF!</v>
      </c>
      <c r="H29" s="23" t="e">
        <f>#REF!</f>
        <v>#REF!</v>
      </c>
      <c r="I29" s="23">
        <v>0.12</v>
      </c>
      <c r="J29" s="2" t="e">
        <f t="shared" ref="J29:J37" si="11">G29/$G$41</f>
        <v>#REF!</v>
      </c>
      <c r="K29" s="25"/>
      <c r="L29" s="23"/>
      <c r="M29" s="26" t="e">
        <f>L29/$L$41</f>
        <v>#DIV/0!</v>
      </c>
      <c r="N29" s="24" t="e">
        <f t="shared" si="1"/>
        <v>#DIV/0!</v>
      </c>
      <c r="O29" s="23"/>
      <c r="P29" s="26" t="e">
        <f>O29/$O$41</f>
        <v>#DIV/0!</v>
      </c>
      <c r="Q29" s="24" t="e">
        <f t="shared" si="2"/>
        <v>#DIV/0!</v>
      </c>
      <c r="R29" s="23"/>
      <c r="S29" s="2" t="e">
        <f t="shared" ref="S29:S37" si="12">R29/$R$41</f>
        <v>#DIV/0!</v>
      </c>
      <c r="T29" s="24" t="e">
        <f t="shared" si="3"/>
        <v>#DIV/0!</v>
      </c>
      <c r="U29" s="23"/>
      <c r="V29" s="26" t="e">
        <f t="shared" ref="V29:V37" si="13">U29/$U$41</f>
        <v>#DIV/0!</v>
      </c>
      <c r="W29" s="24" t="e">
        <f t="shared" si="4"/>
        <v>#DIV/0!</v>
      </c>
      <c r="X29" s="24" t="e">
        <f t="shared" si="5"/>
        <v>#REF!</v>
      </c>
      <c r="Y29" s="27" t="s">
        <v>28</v>
      </c>
      <c r="Z29" s="27" t="s">
        <v>28</v>
      </c>
      <c r="AA29" s="27" t="s">
        <v>28</v>
      </c>
      <c r="AB29" s="27" t="s">
        <v>28</v>
      </c>
      <c r="AC29" s="27" t="s">
        <v>28</v>
      </c>
    </row>
    <row r="30" spans="1:29">
      <c r="A30" s="4" t="s">
        <v>39</v>
      </c>
      <c r="B30" s="4" t="e">
        <f>O30+R30+U30</f>
        <v>#VALUE!</v>
      </c>
      <c r="C30" s="4"/>
      <c r="D30" s="5" t="e">
        <f>K30/B30</f>
        <v>#VALUE!</v>
      </c>
      <c r="E30" s="4" t="s">
        <v>40</v>
      </c>
      <c r="F30" s="4">
        <v>1000020201</v>
      </c>
      <c r="G30" s="4">
        <v>1319.9</v>
      </c>
      <c r="H30" s="4" t="e">
        <f t="shared" si="0"/>
        <v>#VALUE!</v>
      </c>
      <c r="I30" s="4">
        <v>1.04</v>
      </c>
      <c r="J30" s="2" t="e">
        <f t="shared" si="11"/>
        <v>#REF!</v>
      </c>
      <c r="K30" s="1"/>
      <c r="L30" s="4" t="s">
        <v>195</v>
      </c>
      <c r="M30" s="6" t="e">
        <f>L30/$L$41</f>
        <v>#VALUE!</v>
      </c>
      <c r="N30" s="5" t="e">
        <f t="shared" si="1"/>
        <v>#VALUE!</v>
      </c>
      <c r="O30" s="4" t="s">
        <v>196</v>
      </c>
      <c r="P30" s="6" t="e">
        <f>O30/$O$41</f>
        <v>#VALUE!</v>
      </c>
      <c r="Q30" s="5" t="e">
        <f t="shared" si="2"/>
        <v>#VALUE!</v>
      </c>
      <c r="R30" s="4" t="s">
        <v>197</v>
      </c>
      <c r="S30" s="2" t="e">
        <f t="shared" si="12"/>
        <v>#VALUE!</v>
      </c>
      <c r="T30" s="5" t="e">
        <f t="shared" si="3"/>
        <v>#VALUE!</v>
      </c>
      <c r="U30" s="4" t="s">
        <v>198</v>
      </c>
      <c r="V30" s="6" t="e">
        <f t="shared" si="13"/>
        <v>#VALUE!</v>
      </c>
      <c r="W30" s="5" t="e">
        <f t="shared" si="4"/>
        <v>#VALUE!</v>
      </c>
      <c r="X30" s="5" t="e">
        <f t="shared" si="5"/>
        <v>#REF!</v>
      </c>
      <c r="Y30" t="s">
        <v>28</v>
      </c>
      <c r="Z30" t="s">
        <v>28</v>
      </c>
      <c r="AA30" t="s">
        <v>28</v>
      </c>
      <c r="AB30" t="s">
        <v>28</v>
      </c>
      <c r="AC30" t="s">
        <v>28</v>
      </c>
    </row>
    <row r="31" spans="1:29">
      <c r="A31" s="4" t="s">
        <v>41</v>
      </c>
      <c r="B31" s="8" t="e">
        <f>O31+R31+U31</f>
        <v>#VALUE!</v>
      </c>
      <c r="C31" s="4"/>
      <c r="D31" s="5" t="e">
        <f>K31/B31</f>
        <v>#VALUE!</v>
      </c>
      <c r="E31" s="4" t="s">
        <v>41</v>
      </c>
      <c r="F31" s="4" t="s">
        <v>28</v>
      </c>
      <c r="G31" s="4">
        <v>93.9</v>
      </c>
      <c r="H31" s="9">
        <v>760320</v>
      </c>
      <c r="I31" s="4">
        <v>14.7</v>
      </c>
      <c r="J31" s="2" t="e">
        <f t="shared" si="11"/>
        <v>#REF!</v>
      </c>
      <c r="K31" s="1"/>
      <c r="L31" s="4" t="n">
        <v>21120.0</v>
      </c>
      <c r="M31" s="6" t="e">
        <f>L31/$L$41</f>
        <v>#VALUE!</v>
      </c>
      <c r="N31" s="5" t="e">
        <f t="shared" si="1"/>
        <v>#VALUE!</v>
      </c>
      <c r="O31" s="4" t="n">
        <v>29120.0</v>
      </c>
      <c r="P31" s="6" t="e">
        <f>O31/$O$41</f>
        <v>#VALUE!</v>
      </c>
      <c r="Q31" s="5" t="e">
        <f t="shared" si="2"/>
        <v>#VALUE!</v>
      </c>
      <c r="R31" s="4" t="n">
        <v>69760.0</v>
      </c>
      <c r="S31" s="2" t="e">
        <f t="shared" si="12"/>
        <v>#VALUE!</v>
      </c>
      <c r="T31" s="5" t="e">
        <f t="shared" si="3"/>
        <v>#VALUE!</v>
      </c>
      <c r="U31" s="10" t="n">
        <v>126400.0</v>
      </c>
      <c r="V31" s="6" t="e">
        <f t="shared" si="13"/>
        <v>#VALUE!</v>
      </c>
      <c r="W31" s="5" t="e">
        <f t="shared" si="4"/>
        <v>#VALUE!</v>
      </c>
      <c r="X31" s="5" t="e">
        <f t="shared" si="5"/>
        <v>#REF!</v>
      </c>
      <c r="Y31" t="s">
        <v>28</v>
      </c>
      <c r="Z31" t="s">
        <v>28</v>
      </c>
      <c r="AA31" t="s">
        <v>28</v>
      </c>
      <c r="AB31" t="s">
        <v>28</v>
      </c>
      <c r="AC31" t="s">
        <v>28</v>
      </c>
    </row>
    <row r="32" spans="1:29" s="27" customFormat="1">
      <c r="A32" s="23" t="s">
        <v>42</v>
      </c>
      <c r="B32" s="23" t="e">
        <f>#REF!</f>
        <v>#REF!</v>
      </c>
      <c r="C32" s="23"/>
      <c r="D32" s="24" t="e">
        <f t="shared" ref="D32:D37" si="14">K32/B32</f>
        <v>#REF!</v>
      </c>
      <c r="E32" s="23" t="s">
        <v>42</v>
      </c>
      <c r="F32" s="23" t="s">
        <v>28</v>
      </c>
      <c r="G32" s="23"/>
      <c r="H32" s="23">
        <f t="shared" si="0"/>
        <v>0</v>
      </c>
      <c r="I32" s="23"/>
      <c r="J32" s="2" t="e">
        <f t="shared" si="11"/>
        <v>#REF!</v>
      </c>
      <c r="K32" s="25"/>
      <c r="L32" s="23"/>
      <c r="M32" s="23"/>
      <c r="O32" s="23"/>
      <c r="P32" s="26"/>
      <c r="Q32" s="24">
        <f t="shared" si="2"/>
        <v>0</v>
      </c>
      <c r="R32" s="23"/>
      <c r="S32" s="2" t="e">
        <f t="shared" si="12"/>
        <v>#DIV/0!</v>
      </c>
      <c r="T32" s="24" t="e">
        <f t="shared" si="3"/>
        <v>#DIV/0!</v>
      </c>
      <c r="U32" s="23"/>
      <c r="V32" s="26" t="e">
        <f t="shared" si="13"/>
        <v>#DIV/0!</v>
      </c>
      <c r="W32" s="24" t="e">
        <f t="shared" si="4"/>
        <v>#DIV/0!</v>
      </c>
      <c r="X32" s="24" t="e">
        <f t="shared" si="5"/>
        <v>#REF!</v>
      </c>
      <c r="Y32" s="27" t="s">
        <v>28</v>
      </c>
      <c r="Z32" s="27" t="s">
        <v>28</v>
      </c>
      <c r="AA32" s="27" t="s">
        <v>28</v>
      </c>
      <c r="AB32" s="27" t="s">
        <v>28</v>
      </c>
      <c r="AC32" s="27" t="s">
        <v>28</v>
      </c>
    </row>
    <row r="33" spans="1:29">
      <c r="A33" s="4" t="s">
        <v>43</v>
      </c>
      <c r="B33" s="4" t="e">
        <f>O33+R33+U33</f>
        <v>#VALUE!</v>
      </c>
      <c r="C33" s="4"/>
      <c r="D33" s="5" t="e">
        <f t="shared" si="14"/>
        <v>#VALUE!</v>
      </c>
      <c r="E33" s="4" t="s">
        <v>43</v>
      </c>
      <c r="F33" s="4">
        <v>1000010130</v>
      </c>
      <c r="G33" s="4">
        <v>1190</v>
      </c>
      <c r="H33" s="4" t="e">
        <f t="shared" si="0"/>
        <v>#VALUE!</v>
      </c>
      <c r="I33" s="4">
        <v>3.28</v>
      </c>
      <c r="J33" s="2" t="e">
        <f t="shared" si="11"/>
        <v>#REF!</v>
      </c>
      <c r="K33" s="1"/>
      <c r="L33" s="4" t="s">
        <v>199</v>
      </c>
      <c r="M33" s="6" t="e">
        <f t="shared" ref="M33:M37" si="15">L33/$L$41</f>
        <v>#VALUE!</v>
      </c>
      <c r="N33" s="5" t="e">
        <f>$C$3*M33</f>
        <v>#VALUE!</v>
      </c>
      <c r="O33" s="4" t="s">
        <v>200</v>
      </c>
      <c r="P33" s="6" t="e">
        <f>O33/$O$41</f>
        <v>#VALUE!</v>
      </c>
      <c r="Q33" s="5" t="e">
        <f t="shared" si="2"/>
        <v>#VALUE!</v>
      </c>
      <c r="R33" s="4" t="s">
        <v>201</v>
      </c>
      <c r="S33" s="2" t="e">
        <f t="shared" si="12"/>
        <v>#VALUE!</v>
      </c>
      <c r="T33" s="5" t="e">
        <f t="shared" si="3"/>
        <v>#VALUE!</v>
      </c>
      <c r="U33" s="4" t="s">
        <v>202</v>
      </c>
      <c r="V33" s="6" t="e">
        <f t="shared" si="13"/>
        <v>#VALUE!</v>
      </c>
      <c r="W33" s="5" t="e">
        <f t="shared" si="4"/>
        <v>#VALUE!</v>
      </c>
      <c r="X33" s="5" t="e">
        <f t="shared" si="5"/>
        <v>#REF!</v>
      </c>
      <c r="Y33" t="s">
        <v>28</v>
      </c>
      <c r="Z33" t="s">
        <v>28</v>
      </c>
      <c r="AA33" t="s">
        <v>28</v>
      </c>
      <c r="AB33" t="s">
        <v>28</v>
      </c>
      <c r="AC33" t="s">
        <v>28</v>
      </c>
    </row>
    <row r="34" spans="1:29">
      <c r="A34" s="4" t="s">
        <v>44</v>
      </c>
      <c r="B34" s="4" t="e">
        <f t="shared" ref="B34:B37" si="16">O34+R34+U34</f>
        <v>#VALUE!</v>
      </c>
      <c r="C34" s="4"/>
      <c r="D34" s="5" t="e">
        <f t="shared" si="14"/>
        <v>#VALUE!</v>
      </c>
      <c r="E34" s="4" t="s">
        <v>44</v>
      </c>
      <c r="F34" s="4">
        <v>1000020140</v>
      </c>
      <c r="G34" s="4">
        <v>5</v>
      </c>
      <c r="H34" s="4" t="e">
        <f t="shared" si="0"/>
        <v>#VALUE!</v>
      </c>
      <c r="I34" s="4">
        <v>0.13</v>
      </c>
      <c r="J34" s="2" t="e">
        <f t="shared" si="11"/>
        <v>#REF!</v>
      </c>
      <c r="K34" s="1"/>
      <c r="L34" s="4" t="n">
        <v>491.0</v>
      </c>
      <c r="M34" s="6" t="e">
        <f t="shared" si="15"/>
        <v>#VALUE!</v>
      </c>
      <c r="N34" s="5" t="e">
        <f t="shared" ref="N34:N37" si="17">$C$3*M34</f>
        <v>#VALUE!</v>
      </c>
      <c r="O34" s="4" t="n">
        <v>778.0</v>
      </c>
      <c r="P34" s="6" t="e">
        <f>O34/$O$41</f>
        <v>#VALUE!</v>
      </c>
      <c r="Q34" s="5" t="e">
        <f t="shared" si="2"/>
        <v>#VALUE!</v>
      </c>
      <c r="R34" s="4" t="s">
        <v>203</v>
      </c>
      <c r="S34" s="2" t="e">
        <f t="shared" si="12"/>
        <v>#VALUE!</v>
      </c>
      <c r="T34" s="5" t="e">
        <f t="shared" si="3"/>
        <v>#VALUE!</v>
      </c>
      <c r="U34" s="4" t="n">
        <v>1290.0</v>
      </c>
      <c r="V34" s="6" t="e">
        <f t="shared" si="13"/>
        <v>#VALUE!</v>
      </c>
      <c r="W34" s="5" t="e">
        <f t="shared" si="4"/>
        <v>#VALUE!</v>
      </c>
      <c r="X34" s="5" t="e">
        <f t="shared" si="5"/>
        <v>#REF!</v>
      </c>
      <c r="Y34" t="s">
        <v>28</v>
      </c>
      <c r="Z34" t="s">
        <v>28</v>
      </c>
      <c r="AA34" t="s">
        <v>28</v>
      </c>
      <c r="AB34" t="s">
        <v>28</v>
      </c>
      <c r="AC34" t="s">
        <v>28</v>
      </c>
    </row>
    <row r="35" spans="1:29">
      <c r="A35" s="4" t="s">
        <v>76</v>
      </c>
      <c r="B35" s="4">
        <f t="shared" si="16"/>
        <v>0</v>
      </c>
      <c r="C35" s="4"/>
      <c r="D35" s="5" t="e">
        <f t="shared" si="14"/>
        <v>#DIV/0!</v>
      </c>
      <c r="E35" s="4" t="s">
        <v>76</v>
      </c>
      <c r="F35" s="4">
        <v>1000040032</v>
      </c>
      <c r="G35" s="4">
        <v>56.1</v>
      </c>
      <c r="H35" s="4">
        <f t="shared" si="0"/>
        <v>0</v>
      </c>
      <c r="I35" s="4">
        <v>0.17</v>
      </c>
      <c r="J35" s="2" t="e">
        <f t="shared" si="11"/>
        <v>#REF!</v>
      </c>
      <c r="K35" s="1"/>
      <c r="L35" s="4"/>
      <c r="M35" s="6" t="e">
        <f t="shared" si="15"/>
        <v>#DIV/0!</v>
      </c>
      <c r="N35" s="5" t="e">
        <f t="shared" si="17"/>
        <v>#DIV/0!</v>
      </c>
      <c r="O35" s="4"/>
      <c r="P35" s="6" t="e">
        <f>O35/$O$41</f>
        <v>#DIV/0!</v>
      </c>
      <c r="Q35" s="5" t="e">
        <f t="shared" si="2"/>
        <v>#DIV/0!</v>
      </c>
      <c r="R35" s="4"/>
      <c r="S35" s="2" t="e">
        <f t="shared" si="12"/>
        <v>#DIV/0!</v>
      </c>
      <c r="T35" s="5" t="e">
        <f t="shared" si="3"/>
        <v>#DIV/0!</v>
      </c>
      <c r="U35" s="4"/>
      <c r="V35" s="6" t="e">
        <f t="shared" si="13"/>
        <v>#DIV/0!</v>
      </c>
      <c r="W35" s="5" t="e">
        <f t="shared" si="4"/>
        <v>#DIV/0!</v>
      </c>
      <c r="X35" s="5" t="e">
        <f t="shared" si="5"/>
        <v>#REF!</v>
      </c>
      <c r="Y35" t="s">
        <v>28</v>
      </c>
      <c r="Z35" t="s">
        <v>28</v>
      </c>
      <c r="AA35" t="s">
        <v>28</v>
      </c>
      <c r="AB35" t="s">
        <v>28</v>
      </c>
      <c r="AC35" t="s">
        <v>28</v>
      </c>
    </row>
    <row r="36" spans="1:29">
      <c r="A36" s="4" t="s">
        <v>45</v>
      </c>
      <c r="B36" s="4" t="e">
        <f t="shared" si="16"/>
        <v>#VALUE!</v>
      </c>
      <c r="C36" s="4"/>
      <c r="D36" s="5" t="e">
        <f t="shared" si="14"/>
        <v>#VALUE!</v>
      </c>
      <c r="E36" s="4" t="s">
        <v>45</v>
      </c>
      <c r="F36" s="4">
        <v>1000220041</v>
      </c>
      <c r="G36" s="4">
        <v>85.9</v>
      </c>
      <c r="H36" s="4" t="e">
        <f t="shared" si="0"/>
        <v>#VALUE!</v>
      </c>
      <c r="I36" s="4">
        <v>0.71</v>
      </c>
      <c r="J36" s="2" t="e">
        <f t="shared" si="11"/>
        <v>#REF!</v>
      </c>
      <c r="K36" s="1"/>
      <c r="L36" s="4" t="s">
        <v>204</v>
      </c>
      <c r="M36" s="6" t="e">
        <f t="shared" si="15"/>
        <v>#VALUE!</v>
      </c>
      <c r="N36" s="5" t="e">
        <f t="shared" si="17"/>
        <v>#VALUE!</v>
      </c>
      <c r="O36" s="4" t="s">
        <v>205</v>
      </c>
      <c r="P36" s="6" t="e">
        <f>O36/$O$41</f>
        <v>#VALUE!</v>
      </c>
      <c r="Q36" s="5" t="e">
        <f t="shared" si="2"/>
        <v>#VALUE!</v>
      </c>
      <c r="R36" s="4" t="s">
        <v>206</v>
      </c>
      <c r="S36" s="2" t="e">
        <f t="shared" si="12"/>
        <v>#VALUE!</v>
      </c>
      <c r="T36" s="5" t="e">
        <f t="shared" si="3"/>
        <v>#VALUE!</v>
      </c>
      <c r="U36" s="4" t="n">
        <v>12064.0</v>
      </c>
      <c r="V36" s="6" t="e">
        <f t="shared" si="13"/>
        <v>#VALUE!</v>
      </c>
      <c r="W36" s="5" t="e">
        <f t="shared" si="4"/>
        <v>#VALUE!</v>
      </c>
      <c r="X36" s="5" t="e">
        <f t="shared" si="5"/>
        <v>#REF!</v>
      </c>
      <c r="Y36" t="s">
        <v>28</v>
      </c>
      <c r="Z36" t="s">
        <v>28</v>
      </c>
      <c r="AA36" t="s">
        <v>28</v>
      </c>
      <c r="AB36" t="s">
        <v>28</v>
      </c>
      <c r="AC36" t="s">
        <v>28</v>
      </c>
    </row>
    <row r="37" spans="1:29">
      <c r="A37" s="4" t="s">
        <v>46</v>
      </c>
      <c r="B37" s="4" t="e">
        <f t="shared" si="16"/>
        <v>#VALUE!</v>
      </c>
      <c r="C37" s="4"/>
      <c r="D37" s="5" t="e">
        <f t="shared" si="14"/>
        <v>#VALUE!</v>
      </c>
      <c r="E37" s="4" t="s">
        <v>46</v>
      </c>
      <c r="F37" s="4">
        <v>1000040520</v>
      </c>
      <c r="G37" s="4">
        <v>266.10000000000002</v>
      </c>
      <c r="H37" s="4" t="e">
        <f t="shared" si="0"/>
        <v>#VALUE!</v>
      </c>
      <c r="I37" s="4">
        <v>3.37</v>
      </c>
      <c r="J37" s="2" t="e">
        <f t="shared" si="11"/>
        <v>#REF!</v>
      </c>
      <c r="K37" s="1"/>
      <c r="L37" s="4" t="s">
        <v>207</v>
      </c>
      <c r="M37" s="6" t="e">
        <f t="shared" si="15"/>
        <v>#VALUE!</v>
      </c>
      <c r="N37" s="5" t="e">
        <f t="shared" si="17"/>
        <v>#VALUE!</v>
      </c>
      <c r="O37" s="4" t="s">
        <v>208</v>
      </c>
      <c r="P37" s="6" t="e">
        <f>O37/$O$41</f>
        <v>#VALUE!</v>
      </c>
      <c r="Q37" s="5" t="e">
        <f t="shared" si="2"/>
        <v>#VALUE!</v>
      </c>
      <c r="R37" s="4" t="s">
        <v>209</v>
      </c>
      <c r="S37" s="2" t="e">
        <f t="shared" si="12"/>
        <v>#VALUE!</v>
      </c>
      <c r="T37" s="5" t="e">
        <f t="shared" si="3"/>
        <v>#VALUE!</v>
      </c>
      <c r="U37" s="4" t="s">
        <v>210</v>
      </c>
      <c r="V37" s="6" t="e">
        <f t="shared" si="13"/>
        <v>#VALUE!</v>
      </c>
      <c r="W37" s="5" t="e">
        <f t="shared" si="4"/>
        <v>#VALUE!</v>
      </c>
      <c r="X37" s="5" t="e">
        <f t="shared" si="5"/>
        <v>#REF!</v>
      </c>
      <c r="Y37" t="s">
        <v>28</v>
      </c>
      <c r="Z37" t="s">
        <v>28</v>
      </c>
      <c r="AA37" t="s">
        <v>28</v>
      </c>
      <c r="AB37" t="s">
        <v>28</v>
      </c>
      <c r="AC37" t="s">
        <v>28</v>
      </c>
    </row>
    <row r="38" spans="1:29">
      <c r="A38" s="4"/>
      <c r="B38" s="4"/>
      <c r="C38" s="4"/>
      <c r="D38" s="4"/>
      <c r="E38" s="4" t="s">
        <v>62</v>
      </c>
      <c r="F38" s="4">
        <v>1000022250</v>
      </c>
      <c r="G38" s="4"/>
      <c r="H38" s="4"/>
      <c r="I38" s="4"/>
      <c r="J38" s="4"/>
      <c r="K38" s="1"/>
      <c r="L38" s="4"/>
      <c r="M38" s="6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9">
      <c r="A39" s="4" t="s">
        <v>80</v>
      </c>
      <c r="B39" s="4"/>
      <c r="C39" s="4"/>
      <c r="D39" s="4"/>
      <c r="E39" s="4" t="s">
        <v>77</v>
      </c>
      <c r="F39" s="18">
        <v>210000000066</v>
      </c>
      <c r="G39" s="4"/>
      <c r="H39" s="4">
        <v>0</v>
      </c>
      <c r="I39" s="4"/>
      <c r="J39" s="4"/>
      <c r="K39" s="1"/>
      <c r="L39" s="4"/>
      <c r="M39" s="6"/>
      <c r="N39" s="4"/>
      <c r="O39" s="4"/>
      <c r="P39" s="4"/>
      <c r="Q39" s="5" t="e">
        <f>K39*#REF!</f>
        <v>#REF!</v>
      </c>
      <c r="R39" s="4"/>
      <c r="S39" s="4"/>
      <c r="T39" s="5" t="e">
        <f>K39*#REF!</f>
        <v>#REF!</v>
      </c>
      <c r="U39" s="4"/>
      <c r="V39" s="4"/>
      <c r="W39" s="5" t="e">
        <f>K39*#REF!</f>
        <v>#REF!</v>
      </c>
      <c r="X39" s="4"/>
    </row>
    <row r="40" spans="1:29">
      <c r="A40" s="4"/>
      <c r="B40" s="4"/>
      <c r="C40" s="4"/>
      <c r="D40" s="4"/>
      <c r="E40" s="4" t="s">
        <v>78</v>
      </c>
      <c r="F40" s="18">
        <v>1000022243</v>
      </c>
      <c r="G40" s="4"/>
      <c r="H40">
        <v>4185</v>
      </c>
      <c r="I40" s="4"/>
      <c r="J40" s="4"/>
      <c r="K40" s="1"/>
      <c r="L40" s="4"/>
      <c r="M40" s="6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9">
      <c r="A41" s="11" t="s">
        <v>59</v>
      </c>
      <c r="B41" s="11"/>
      <c r="C41" s="11"/>
      <c r="D41" s="11"/>
      <c r="E41" s="11"/>
      <c r="F41" s="11"/>
      <c r="G41" s="11" t="e">
        <f>SUM(G14:G37)</f>
        <v>#REF!</v>
      </c>
      <c r="H41" s="11" t="e">
        <f>SUM(H14:H37)</f>
        <v>#VALUE!</v>
      </c>
      <c r="I41" s="11">
        <f>SUM(I14:I37)</f>
        <v>74.319999999999993</v>
      </c>
      <c r="J41" s="12" t="e">
        <f>SUM(J14:J37)</f>
        <v>#REF!</v>
      </c>
      <c r="K41" s="1"/>
      <c r="L41" s="11"/>
      <c r="M41" s="12" t="e">
        <f>SUM(M14:M37)</f>
        <v>#VALUE!</v>
      </c>
      <c r="N41" s="13" t="e">
        <f>SUM(N14:N38)</f>
        <v>#VALUE!</v>
      </c>
      <c r="O41" s="11">
        <f>SUM(O14:O37)</f>
        <v>0</v>
      </c>
      <c r="P41" s="12" t="e">
        <f>SUM(P14:P37)</f>
        <v>#VALUE!</v>
      </c>
      <c r="Q41" s="13" t="e">
        <f t="shared" ref="Q41:X41" si="18">SUM(Q14:Q37)</f>
        <v>#VALUE!</v>
      </c>
      <c r="R41" s="11">
        <f t="shared" si="18"/>
        <v>0</v>
      </c>
      <c r="S41" s="12" t="e">
        <f>SUM(S14:S37)</f>
        <v>#VALUE!</v>
      </c>
      <c r="T41" s="11" t="e">
        <f t="shared" si="18"/>
        <v>#VALUE!</v>
      </c>
      <c r="U41" s="11">
        <f t="shared" si="18"/>
        <v>0</v>
      </c>
      <c r="V41" s="11" t="e">
        <f t="shared" si="18"/>
        <v>#VALUE!</v>
      </c>
      <c r="W41" s="11" t="e">
        <f t="shared" si="18"/>
        <v>#VALUE!</v>
      </c>
      <c r="X41" s="11" t="e">
        <f t="shared" si="18"/>
        <v>#REF!</v>
      </c>
    </row>
    <row r="42" spans="1:29">
      <c r="E42" s="3" t="s">
        <v>72</v>
      </c>
      <c r="F42" s="19"/>
    </row>
    <row r="43" spans="1:29">
      <c r="E43" s="3" t="s">
        <v>73</v>
      </c>
      <c r="F43" s="19"/>
      <c r="G43" t="s">
        <v>74</v>
      </c>
      <c r="I43" t="s">
        <v>75</v>
      </c>
      <c r="J43" s="14">
        <v>0.57030000000000003</v>
      </c>
      <c r="K43" s="15"/>
      <c r="L43" s="15"/>
      <c r="Q43" s="1"/>
    </row>
  </sheetData>
  <mergeCells count="13">
    <mergeCell ref="A1:G1"/>
    <mergeCell ref="A24:A25"/>
    <mergeCell ref="B24:B25"/>
    <mergeCell ref="C24:C25"/>
    <mergeCell ref="D24:D25"/>
    <mergeCell ref="A14:A19"/>
    <mergeCell ref="B14:B19"/>
    <mergeCell ref="C14:C19"/>
    <mergeCell ref="D14:D19"/>
    <mergeCell ref="A20:A23"/>
    <mergeCell ref="B20:B23"/>
    <mergeCell ref="C20:C23"/>
    <mergeCell ref="D20:D23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2025-09-30T18:00:01Z</dcterms:created>
  <dc:creator>Apache POI</dc:creator>
  <cp:lastModifiedBy>Microsoft Office User</cp:lastModifiedBy>
  <dcterms:modified xsi:type="dcterms:W3CDTF">2026-08-06T05:18:01Z</dcterms:modified>
</cp:coreProperties>
</file>